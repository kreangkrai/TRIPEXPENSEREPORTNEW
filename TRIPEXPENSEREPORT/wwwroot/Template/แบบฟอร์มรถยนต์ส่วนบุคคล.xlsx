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OME\WEB\WebTripExpense\WebTripExpense\wwwroot\Template\"/>
    </mc:Choice>
  </mc:AlternateContent>
  <bookViews>
    <workbookView xWindow="0" yWindow="0" windowWidth="28800" windowHeight="12435"/>
  </bookViews>
  <sheets>
    <sheet name="Travelling Expense" sheetId="2" r:id="rId1"/>
  </sheets>
  <definedNames>
    <definedName name="_xlnm.Print_Area" localSheetId="0">'Travelling Expense'!$B$1:$P$60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7" i="2" l="1"/>
  <c r="R19" i="2" l="1"/>
  <c r="R16" i="2"/>
  <c r="M49" i="2" l="1"/>
  <c r="L49" i="2"/>
  <c r="O16" i="2" l="1"/>
  <c r="C16" i="2"/>
  <c r="A16" i="2" s="1"/>
  <c r="D16" i="2"/>
  <c r="F16" i="2"/>
  <c r="N16" i="2"/>
  <c r="F17" i="2"/>
  <c r="L50" i="2"/>
  <c r="Q16" i="2" l="1"/>
  <c r="D17" i="2"/>
  <c r="O17" i="2"/>
  <c r="N17" i="2"/>
  <c r="C17" i="2"/>
  <c r="A17" i="2" s="1"/>
  <c r="O18" i="2"/>
  <c r="D18" i="2"/>
  <c r="C18" i="2"/>
  <c r="N18" i="2"/>
  <c r="F18" i="2"/>
  <c r="P18" i="2" l="1"/>
  <c r="R18" i="2" s="1"/>
  <c r="Q17" i="2"/>
  <c r="P17" i="2"/>
  <c r="R17" i="2" s="1"/>
  <c r="Q18" i="2"/>
  <c r="A18" i="2"/>
  <c r="O19" i="2"/>
  <c r="N19" i="2"/>
  <c r="C19" i="2"/>
  <c r="D19" i="2"/>
  <c r="F19" i="2"/>
  <c r="T16" i="2"/>
  <c r="N20" i="2" l="1"/>
  <c r="F20" i="2"/>
  <c r="C20" i="2"/>
  <c r="O20" i="2"/>
  <c r="D20" i="2"/>
  <c r="Q19" i="2"/>
  <c r="A19" i="2"/>
  <c r="U16" i="2" l="1"/>
  <c r="P20" i="2"/>
  <c r="R20" i="2" s="1"/>
  <c r="T18" i="2"/>
  <c r="T17" i="2"/>
  <c r="F21" i="2"/>
  <c r="D21" i="2"/>
  <c r="C21" i="2"/>
  <c r="A21" i="2" s="1"/>
  <c r="O21" i="2"/>
  <c r="N21" i="2"/>
  <c r="Q20" i="2"/>
  <c r="A20" i="2"/>
  <c r="P21" i="2" l="1"/>
  <c r="R21" i="2" s="1"/>
  <c r="Q21" i="2"/>
  <c r="D22" i="2"/>
  <c r="C22" i="2"/>
  <c r="O22" i="2"/>
  <c r="N22" i="2"/>
  <c r="F22" i="2"/>
  <c r="V16" i="2"/>
  <c r="U18" i="2"/>
  <c r="T19" i="2"/>
  <c r="U17" i="2" l="1"/>
  <c r="V17" i="2" s="1"/>
  <c r="P22" i="2"/>
  <c r="R22" i="2" s="1"/>
  <c r="Q22" i="2"/>
  <c r="A22" i="2"/>
  <c r="C23" i="2"/>
  <c r="A23" i="2" s="1"/>
  <c r="F23" i="2"/>
  <c r="D23" i="2"/>
  <c r="O23" i="2"/>
  <c r="N23" i="2"/>
  <c r="T20" i="2"/>
  <c r="W17" i="2" l="1"/>
  <c r="O24" i="2"/>
  <c r="N24" i="2"/>
  <c r="F24" i="2"/>
  <c r="D24" i="2"/>
  <c r="C24" i="2"/>
  <c r="A24" i="2" s="1"/>
  <c r="W16" i="2"/>
  <c r="P23" i="2"/>
  <c r="R23" i="2" s="1"/>
  <c r="T21" i="2"/>
  <c r="U19" i="2"/>
  <c r="V18" i="2"/>
  <c r="Q23" i="2"/>
  <c r="X17" i="2" l="1"/>
  <c r="N25" i="2"/>
  <c r="O25" i="2"/>
  <c r="F25" i="2"/>
  <c r="C25" i="2"/>
  <c r="D25" i="2"/>
  <c r="W18" i="2"/>
  <c r="T22" i="2"/>
  <c r="Q24" i="2"/>
  <c r="U21" i="2"/>
  <c r="P24" i="2"/>
  <c r="R24" i="2" s="1"/>
  <c r="U20" i="2"/>
  <c r="T23" i="2" l="1"/>
  <c r="V19" i="2"/>
  <c r="P25" i="2"/>
  <c r="R25" i="2" s="1"/>
  <c r="F26" i="2"/>
  <c r="O26" i="2"/>
  <c r="C26" i="2"/>
  <c r="N26" i="2"/>
  <c r="D26" i="2"/>
  <c r="X16" i="2"/>
  <c r="Q25" i="2"/>
  <c r="A25" i="2"/>
  <c r="P26" i="2" l="1"/>
  <c r="R26" i="2" s="1"/>
  <c r="T24" i="2"/>
  <c r="X18" i="2"/>
  <c r="V21" i="2"/>
  <c r="W19" i="2"/>
  <c r="U22" i="2"/>
  <c r="D27" i="2"/>
  <c r="O27" i="2"/>
  <c r="N27" i="2"/>
  <c r="F27" i="2"/>
  <c r="C27" i="2"/>
  <c r="U23" i="2"/>
  <c r="Q26" i="2"/>
  <c r="A26" i="2"/>
  <c r="V20" i="2"/>
  <c r="V22" i="2" l="1"/>
  <c r="T25" i="2"/>
  <c r="Q27" i="2"/>
  <c r="A27" i="2"/>
  <c r="X19" i="2"/>
  <c r="P27" i="2"/>
  <c r="R27" i="2" s="1"/>
  <c r="C28" i="2"/>
  <c r="N28" i="2"/>
  <c r="F28" i="2"/>
  <c r="O28" i="2"/>
  <c r="D28" i="2"/>
  <c r="U24" i="2"/>
  <c r="W22" i="2" l="1"/>
  <c r="W21" i="2"/>
  <c r="W20" i="2"/>
  <c r="P28" i="2"/>
  <c r="R28" i="2" s="1"/>
  <c r="Q28" i="2"/>
  <c r="A28" i="2"/>
  <c r="T26" i="2"/>
  <c r="F29" i="2"/>
  <c r="D29" i="2"/>
  <c r="N29" i="2"/>
  <c r="C29" i="2"/>
  <c r="O29" i="2"/>
  <c r="V23" i="2"/>
  <c r="V24" i="2" l="1"/>
  <c r="U25" i="2"/>
  <c r="Q29" i="2"/>
  <c r="A29" i="2"/>
  <c r="D30" i="2"/>
  <c r="C30" i="2"/>
  <c r="O30" i="2"/>
  <c r="N30" i="2"/>
  <c r="F30" i="2"/>
  <c r="X22" i="2"/>
  <c r="P29" i="2"/>
  <c r="R29" i="2" s="1"/>
  <c r="T27" i="2"/>
  <c r="X20" i="2" l="1"/>
  <c r="X21" i="2"/>
  <c r="C31" i="2"/>
  <c r="O31" i="2"/>
  <c r="N31" i="2"/>
  <c r="D31" i="2"/>
  <c r="F31" i="2"/>
  <c r="U26" i="2"/>
  <c r="P30" i="2"/>
  <c r="R30" i="2" s="1"/>
  <c r="W23" i="2"/>
  <c r="V25" i="2"/>
  <c r="Q30" i="2"/>
  <c r="A30" i="2"/>
  <c r="T28" i="2"/>
  <c r="W24" i="2"/>
  <c r="T29" i="2" l="1"/>
  <c r="P31" i="2"/>
  <c r="R31" i="2" s="1"/>
  <c r="U27" i="2"/>
  <c r="Q31" i="2"/>
  <c r="A31" i="2"/>
  <c r="C32" i="2"/>
  <c r="N32" i="2"/>
  <c r="O32" i="2"/>
  <c r="F32" i="2"/>
  <c r="D32" i="2"/>
  <c r="X23" i="2" l="1"/>
  <c r="P32" i="2"/>
  <c r="R32" i="2" s="1"/>
  <c r="C33" i="2"/>
  <c r="N33" i="2"/>
  <c r="F33" i="2"/>
  <c r="O33" i="2"/>
  <c r="D33" i="2"/>
  <c r="V26" i="2"/>
  <c r="W25" i="2"/>
  <c r="Q32" i="2"/>
  <c r="A32" i="2"/>
  <c r="X24" i="2"/>
  <c r="U28" i="2"/>
  <c r="T30" i="2"/>
  <c r="T31" i="2" l="1"/>
  <c r="U31" i="2" s="1"/>
  <c r="P33" i="2"/>
  <c r="R33" i="2" s="1"/>
  <c r="U29" i="2"/>
  <c r="V27" i="2"/>
  <c r="O34" i="2"/>
  <c r="N34" i="2"/>
  <c r="C34" i="2"/>
  <c r="F34" i="2"/>
  <c r="D34" i="2"/>
  <c r="T32" i="2"/>
  <c r="X25" i="2"/>
  <c r="Q33" i="2"/>
  <c r="A33" i="2"/>
  <c r="V28" i="2"/>
  <c r="V29" i="2" l="1"/>
  <c r="U30" i="2"/>
  <c r="W26" i="2"/>
  <c r="O35" i="2"/>
  <c r="N35" i="2"/>
  <c r="D35" i="2"/>
  <c r="C35" i="2"/>
  <c r="F35" i="2"/>
  <c r="Q34" i="2"/>
  <c r="A34" i="2"/>
  <c r="T33" i="2"/>
  <c r="P34" i="2"/>
  <c r="R34" i="2" s="1"/>
  <c r="W27" i="2" l="1"/>
  <c r="W28" i="2"/>
  <c r="V31" i="2"/>
  <c r="P35" i="2"/>
  <c r="R35" i="2" s="1"/>
  <c r="U32" i="2"/>
  <c r="N36" i="2"/>
  <c r="F36" i="2"/>
  <c r="D36" i="2"/>
  <c r="O36" i="2"/>
  <c r="C36" i="2"/>
  <c r="Q35" i="2"/>
  <c r="A35" i="2"/>
  <c r="W29" i="2"/>
  <c r="V30" i="2" l="1"/>
  <c r="U33" i="2"/>
  <c r="T34" i="2"/>
  <c r="X28" i="2"/>
  <c r="X26" i="2"/>
  <c r="Q36" i="2"/>
  <c r="A36" i="2"/>
  <c r="P36" i="2"/>
  <c r="R36" i="2" s="1"/>
  <c r="F37" i="2"/>
  <c r="D37" i="2"/>
  <c r="O37" i="2"/>
  <c r="N37" i="2"/>
  <c r="C37" i="2"/>
  <c r="X27" i="2"/>
  <c r="T35" i="2"/>
  <c r="X29" i="2" l="1"/>
  <c r="P37" i="2"/>
  <c r="R37" i="2" s="1"/>
  <c r="V32" i="2"/>
  <c r="W30" i="2"/>
  <c r="W31" i="2"/>
  <c r="U34" i="2"/>
  <c r="V33" i="2"/>
  <c r="D38" i="2"/>
  <c r="C38" i="2"/>
  <c r="O38" i="2"/>
  <c r="N38" i="2"/>
  <c r="F38" i="2"/>
  <c r="Q37" i="2"/>
  <c r="A37" i="2"/>
  <c r="P38" i="2" l="1"/>
  <c r="R38" i="2" s="1"/>
  <c r="Q38" i="2"/>
  <c r="A38" i="2"/>
  <c r="U35" i="2"/>
  <c r="C39" i="2"/>
  <c r="N39" i="2"/>
  <c r="F39" i="2"/>
  <c r="O39" i="2"/>
  <c r="D39" i="2"/>
  <c r="T36" i="2"/>
  <c r="X31" i="2" l="1"/>
  <c r="X30" i="2"/>
  <c r="T37" i="2"/>
  <c r="U36" i="2"/>
  <c r="P39" i="2"/>
  <c r="R39" i="2" s="1"/>
  <c r="W32" i="2"/>
  <c r="V34" i="2"/>
  <c r="W33" i="2"/>
  <c r="Q39" i="2"/>
  <c r="A39" i="2"/>
  <c r="F40" i="2"/>
  <c r="O40" i="2"/>
  <c r="D40" i="2"/>
  <c r="N40" i="2"/>
  <c r="C40" i="2"/>
  <c r="P40" i="2" l="1"/>
  <c r="R40" i="2" s="1"/>
  <c r="F41" i="2"/>
  <c r="C41" i="2"/>
  <c r="D41" i="2"/>
  <c r="O41" i="2"/>
  <c r="N41" i="2"/>
  <c r="T38" i="2"/>
  <c r="Q40" i="2"/>
  <c r="A40" i="2"/>
  <c r="V35" i="2"/>
  <c r="W34" i="2" l="1"/>
  <c r="U37" i="2"/>
  <c r="P41" i="2"/>
  <c r="R41" i="2" s="1"/>
  <c r="Q41" i="2"/>
  <c r="A41" i="2"/>
  <c r="X33" i="2"/>
  <c r="X32" i="2"/>
  <c r="V36" i="2"/>
  <c r="N42" i="2"/>
  <c r="D42" i="2"/>
  <c r="O42" i="2"/>
  <c r="P42" i="2" s="1"/>
  <c r="R42" i="2" s="1"/>
  <c r="F42" i="2"/>
  <c r="C42" i="2"/>
  <c r="T39" i="2"/>
  <c r="U38" i="2" l="1"/>
  <c r="W35" i="2"/>
  <c r="Q42" i="2"/>
  <c r="A42" i="2"/>
  <c r="O43" i="2"/>
  <c r="N43" i="2"/>
  <c r="F43" i="2"/>
  <c r="C43" i="2"/>
  <c r="D43" i="2"/>
  <c r="X34" i="2"/>
  <c r="V37" i="2"/>
  <c r="T40" i="2"/>
  <c r="U39" i="2"/>
  <c r="P43" i="2" l="1"/>
  <c r="R43" i="2" s="1"/>
  <c r="T41" i="2"/>
  <c r="T42" i="2"/>
  <c r="N44" i="2"/>
  <c r="D44" i="2"/>
  <c r="C44" i="2"/>
  <c r="O44" i="2"/>
  <c r="F44" i="2"/>
  <c r="Q43" i="2"/>
  <c r="A43" i="2"/>
  <c r="W36" i="2"/>
  <c r="V38" i="2"/>
  <c r="W37" i="2"/>
  <c r="V39" i="2" l="1"/>
  <c r="X35" i="2"/>
  <c r="U40" i="2"/>
  <c r="P44" i="2"/>
  <c r="R44" i="2" s="1"/>
  <c r="F45" i="2"/>
  <c r="N45" i="2"/>
  <c r="C45" i="2"/>
  <c r="O45" i="2"/>
  <c r="D45" i="2"/>
  <c r="Q44" i="2"/>
  <c r="A44" i="2"/>
  <c r="P45" i="2" l="1"/>
  <c r="R45" i="2" s="1"/>
  <c r="X36" i="2"/>
  <c r="W39" i="2"/>
  <c r="Q45" i="2"/>
  <c r="A45" i="2"/>
  <c r="U41" i="2"/>
  <c r="T43" i="2"/>
  <c r="D46" i="2"/>
  <c r="O46" i="2"/>
  <c r="N46" i="2"/>
  <c r="F46" i="2"/>
  <c r="C46" i="2"/>
  <c r="U42" i="2"/>
  <c r="W38" i="2"/>
  <c r="V40" i="2"/>
  <c r="X37" i="2"/>
  <c r="T44" i="2" l="1"/>
  <c r="C47" i="2"/>
  <c r="D47" i="2"/>
  <c r="O47" i="2"/>
  <c r="N47" i="2"/>
  <c r="F47" i="2"/>
  <c r="P46" i="2"/>
  <c r="R46" i="2" s="1"/>
  <c r="X39" i="2"/>
  <c r="Q46" i="2"/>
  <c r="A46" i="2"/>
  <c r="X38" i="2" l="1"/>
  <c r="P47" i="2"/>
  <c r="R47" i="2" s="1"/>
  <c r="V41" i="2"/>
  <c r="U44" i="2"/>
  <c r="T45" i="2"/>
  <c r="U43" i="2"/>
  <c r="V42" i="2"/>
  <c r="Q47" i="2"/>
  <c r="A47" i="2"/>
  <c r="W40" i="2"/>
  <c r="F48" i="2"/>
  <c r="C48" i="2"/>
  <c r="D48" i="2"/>
  <c r="P49" i="2" l="1"/>
  <c r="Q56" i="2" s="1"/>
  <c r="P56" i="2" s="1"/>
  <c r="V44" i="2"/>
  <c r="T46" i="2"/>
  <c r="W41" i="2"/>
  <c r="U45" i="2"/>
  <c r="Q48" i="2"/>
  <c r="A48" i="2"/>
  <c r="L57" i="2" l="1"/>
  <c r="X40" i="2"/>
  <c r="W42" i="2"/>
  <c r="W44" i="2"/>
  <c r="T47" i="2"/>
  <c r="V43" i="2"/>
  <c r="X42" i="2" l="1"/>
  <c r="U46" i="2"/>
  <c r="X41" i="2"/>
  <c r="V45" i="2"/>
  <c r="T48" i="2"/>
  <c r="X44" i="2" l="1"/>
  <c r="U47" i="2"/>
  <c r="W43" i="2"/>
  <c r="V46" i="2"/>
  <c r="W46" i="2" l="1"/>
  <c r="U48" i="2"/>
  <c r="W45" i="2"/>
  <c r="V47" i="2" l="1"/>
  <c r="X43" i="2"/>
  <c r="X46" i="2" l="1"/>
  <c r="V48" i="2"/>
  <c r="W47" i="2"/>
  <c r="X45" i="2"/>
  <c r="W48" i="2" l="1"/>
  <c r="X47" i="2" l="1"/>
  <c r="X48" i="2" l="1"/>
</calcChain>
</file>

<file path=xl/sharedStrings.xml><?xml version="1.0" encoding="utf-8"?>
<sst xmlns="http://schemas.openxmlformats.org/spreadsheetml/2006/main" count="52" uniqueCount="42">
  <si>
    <t>TRAVELLING EXPENSE CLAIM (GASOLINE)</t>
  </si>
  <si>
    <t>DATE</t>
  </si>
  <si>
    <t>TIME</t>
  </si>
  <si>
    <t xml:space="preserve">DESTINATION / BUSINESS </t>
  </si>
  <si>
    <t>C , T ,</t>
  </si>
  <si>
    <t>AMOUNT</t>
  </si>
  <si>
    <t>Milage</t>
  </si>
  <si>
    <t>FROM</t>
  </si>
  <si>
    <t>TO</t>
  </si>
  <si>
    <t>( FROM - TO )</t>
  </si>
  <si>
    <t>B , O</t>
  </si>
  <si>
    <t>A/EXP</t>
  </si>
  <si>
    <t>P/T</t>
  </si>
  <si>
    <t>Start-Ending</t>
  </si>
  <si>
    <t>Kms</t>
  </si>
  <si>
    <t/>
  </si>
  <si>
    <t>SUB-TOTAL</t>
  </si>
  <si>
    <t xml:space="preserve">     NOTE:</t>
  </si>
  <si>
    <t>TOTAL</t>
  </si>
  <si>
    <t xml:space="preserve">CLAIM BY </t>
  </si>
  <si>
    <t>CHECKED BY MANAGER</t>
  </si>
  <si>
    <t>APPROVED BY GM</t>
  </si>
  <si>
    <t>ADMIN.</t>
  </si>
  <si>
    <t xml:space="preserve">     1)  C = COMPANY'S CAR, T = TAXI, B = BUS, O = OTHER (Pls. specific)</t>
  </si>
  <si>
    <t xml:space="preserve">     2)  A/EXP = ACTUAL EXPENSES BY COMPANY'S CAR, TAXI, BUS (WITH RECEIPTS IF AVAILABLE)</t>
  </si>
  <si>
    <t xml:space="preserve">    KMS…...……</t>
  </si>
  <si>
    <t xml:space="preserve">     3)  P/T = PARKING FEE , TOLL FEE (WITH RECEIPT)</t>
  </si>
  <si>
    <t>(2,001 ~ 4,000 KMS)  5.0 B/KMS</t>
  </si>
  <si>
    <t xml:space="preserve">     4)  OWN CAR  - MILAGE :  START-ENGING =  MILAGE FROM BEGINNING  TO ENDING  PER TRIP </t>
  </si>
  <si>
    <t>(4,001 ~ ……...KMS)  4.0 B/KMS</t>
  </si>
  <si>
    <t xml:space="preserve">     KMS = KILOMETERS MADE PER TRIP</t>
  </si>
  <si>
    <t>A/EXP + P/T</t>
  </si>
  <si>
    <t>COMMENSURATE GASOLINE</t>
  </si>
  <si>
    <t>…………..</t>
  </si>
  <si>
    <t>- 35 )</t>
  </si>
  <si>
    <t xml:space="preserve">DATE OF ISSUE: </t>
  </si>
  <si>
    <t xml:space="preserve">FOR THE MONTH OF: </t>
  </si>
  <si>
    <t xml:space="preserve">EMPLOYEE NAME: </t>
  </si>
  <si>
    <t xml:space="preserve">DEPARTMENT: </t>
  </si>
  <si>
    <t>(1001 ~ 2,000 KMS)  7.5 B/KMS</t>
  </si>
  <si>
    <t xml:space="preserve"> (0  ~  1,000 KMS) 10.0 B./KMS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</si>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</sst>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0000"/>
  </numFmts>
  <fonts count="14" x14ac:knownFonts="1">
    <font>
      <sz val="11"/>
      <color theme="1"/>
      <name val="Calibri"/>
      <family val="2"/>
      <scheme val="minor"/>
    </font>
    <font>
      <sz val="14"/>
      <name val="CordiaUPC"/>
      <family val="2"/>
    </font>
    <font>
      <sz val="10"/>
      <name val="Arial"/>
      <family val="2"/>
    </font>
    <font>
      <sz val="8"/>
      <name val="Arial"/>
      <family val="2"/>
    </font>
    <font>
      <sz val="18"/>
      <name val="Arial"/>
      <family val="2"/>
    </font>
    <font>
      <sz val="14"/>
      <color theme="1"/>
      <name val="Calibri"/>
      <family val="2"/>
      <scheme val="minor"/>
    </font>
    <font>
      <sz val="16"/>
      <name val="Arial"/>
      <family val="2"/>
    </font>
    <font>
      <sz val="16"/>
      <name val="CordiaUPC"/>
      <family val="2"/>
    </font>
    <font>
      <u/>
      <sz val="16"/>
      <name val="Arial"/>
      <family val="2"/>
    </font>
    <font>
      <b/>
      <sz val="16"/>
      <name val="Arial"/>
      <family val="2"/>
    </font>
    <font>
      <sz val="16"/>
      <color theme="1"/>
      <name val="Calibri"/>
      <family val="2"/>
      <scheme val="minor"/>
    </font>
    <font>
      <b/>
      <sz val="18"/>
      <name val="Arial"/>
      <family val="2"/>
    </font>
    <font>
      <sz val="18"/>
      <color theme="1"/>
      <name val="Calibri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5">
    <xf numFmtId="0" fontId="0" fillId="0" borderId="0" xfId="0" applyNumberFormat="1" applyFont="1" applyFill="1" applyBorder="1"/>
    <xf numFmtId="0" fontId="2" fillId="0" borderId="0" xfId="2" applyNumberFormat="1" applyFont="1" applyFill="1" applyBorder="1"/>
    <xf numFmtId="0" fontId="3" fillId="0" borderId="0" xfId="2" applyNumberFormat="1" applyFont="1" applyFill="1" applyBorder="1"/>
    <xf numFmtId="0" fontId="3" fillId="0" borderId="0" xfId="2" applyNumberFormat="1" applyFont="1" applyFill="1" applyBorder="1" applyAlignment="1">
      <alignment horizontal="center"/>
    </xf>
    <xf numFmtId="0" fontId="2" fillId="0" borderId="0" xfId="2" applyNumberFormat="1" applyFont="1" applyFill="1" applyBorder="1" applyAlignment="1">
      <alignment horizont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3" fillId="0" borderId="0" xfId="2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/>
    <xf numFmtId="0" fontId="6" fillId="0" borderId="0" xfId="2" applyNumberFormat="1" applyFont="1" applyFill="1" applyBorder="1"/>
    <xf numFmtId="0" fontId="7" fillId="0" borderId="0" xfId="2" applyNumberFormat="1" applyFont="1" applyFill="1" applyBorder="1"/>
    <xf numFmtId="0" fontId="8" fillId="0" borderId="0" xfId="2" applyNumberFormat="1" applyFont="1" applyFill="1" applyBorder="1" applyAlignment="1">
      <alignment horizontal="centerContinuous"/>
    </xf>
    <xf numFmtId="0" fontId="6" fillId="0" borderId="0" xfId="2" applyNumberFormat="1" applyFont="1" applyFill="1" applyBorder="1" applyAlignment="1">
      <alignment horizontal="centerContinuous"/>
    </xf>
    <xf numFmtId="0" fontId="9" fillId="0" borderId="1" xfId="2" applyNumberFormat="1" applyFont="1" applyFill="1" applyBorder="1" applyAlignment="1">
      <alignment vertical="center"/>
    </xf>
    <xf numFmtId="0" fontId="6" fillId="0" borderId="2" xfId="2" applyNumberFormat="1" applyFont="1" applyFill="1" applyBorder="1" applyAlignment="1">
      <alignment vertical="center"/>
    </xf>
    <xf numFmtId="0" fontId="6" fillId="0" borderId="0" xfId="2" applyNumberFormat="1" applyFont="1" applyFill="1" applyBorder="1" applyAlignment="1">
      <alignment vertical="center"/>
    </xf>
    <xf numFmtId="0" fontId="6" fillId="0" borderId="0" xfId="2" applyNumberFormat="1" applyFont="1" applyFill="1" applyBorder="1" applyAlignment="1">
      <alignment horizontal="left"/>
    </xf>
    <xf numFmtId="0" fontId="6" fillId="0" borderId="0" xfId="2" applyNumberFormat="1" applyFont="1" applyFill="1" applyBorder="1" applyAlignment="1">
      <alignment horizontal="right"/>
    </xf>
    <xf numFmtId="0" fontId="6" fillId="0" borderId="0" xfId="2" applyNumberFormat="1" applyFont="1" applyFill="1" applyBorder="1" applyAlignment="1">
      <alignment horizontal="center"/>
    </xf>
    <xf numFmtId="0" fontId="10" fillId="0" borderId="0" xfId="0" applyNumberFormat="1" applyFont="1" applyFill="1" applyBorder="1"/>
    <xf numFmtId="0" fontId="6" fillId="0" borderId="0" xfId="2" applyNumberFormat="1" applyFont="1" applyFill="1" applyBorder="1"/>
    <xf numFmtId="0" fontId="6" fillId="0" borderId="9" xfId="2" applyNumberFormat="1" applyFont="1" applyFill="1" applyBorder="1"/>
    <xf numFmtId="2" fontId="6" fillId="0" borderId="9" xfId="2" applyNumberFormat="1" applyFont="1" applyFill="1" applyBorder="1"/>
    <xf numFmtId="0" fontId="4" fillId="0" borderId="0" xfId="2" applyNumberFormat="1" applyFont="1" applyFill="1" applyBorder="1"/>
    <xf numFmtId="0" fontId="4" fillId="0" borderId="4" xfId="2" applyNumberFormat="1" applyFont="1" applyFill="1" applyBorder="1" applyAlignment="1">
      <alignment horizontal="centerContinuous" vertical="center"/>
    </xf>
    <xf numFmtId="0" fontId="4" fillId="0" borderId="4" xfId="2" applyNumberFormat="1" applyFont="1" applyFill="1" applyBorder="1" applyAlignment="1">
      <alignment horizontal="center" vertical="center"/>
    </xf>
    <xf numFmtId="0" fontId="4" fillId="0" borderId="7" xfId="2" applyNumberFormat="1" applyFont="1" applyFill="1" applyBorder="1" applyAlignment="1">
      <alignment horizontal="center" vertical="center"/>
    </xf>
    <xf numFmtId="0" fontId="4" fillId="0" borderId="8" xfId="2" applyNumberFormat="1" applyFont="1" applyFill="1" applyBorder="1" applyAlignment="1">
      <alignment horizontal="center" vertical="center"/>
    </xf>
    <xf numFmtId="164" fontId="4" fillId="0" borderId="7" xfId="2" applyNumberFormat="1" applyFont="1" applyFill="1" applyBorder="1" applyAlignment="1">
      <alignment horizontal="center" vertical="center"/>
    </xf>
    <xf numFmtId="14" fontId="4" fillId="0" borderId="11" xfId="2" applyNumberFormat="1" applyFont="1" applyFill="1" applyBorder="1" applyAlignment="1">
      <alignment horizontal="center" vertical="center"/>
    </xf>
    <xf numFmtId="0" fontId="4" fillId="0" borderId="12" xfId="2" applyNumberFormat="1" applyFont="1" applyFill="1" applyBorder="1" applyAlignment="1">
      <alignment horizontal="center" vertical="center"/>
    </xf>
    <xf numFmtId="0" fontId="4" fillId="0" borderId="13" xfId="2" applyNumberFormat="1" applyFont="1" applyFill="1" applyBorder="1" applyAlignment="1">
      <alignment horizontal="center" vertical="center"/>
    </xf>
    <xf numFmtId="0" fontId="4" fillId="0" borderId="15" xfId="2" applyNumberFormat="1" applyFont="1" applyFill="1" applyBorder="1" applyAlignment="1">
      <alignment vertical="center"/>
    </xf>
    <xf numFmtId="0" fontId="4" fillId="0" borderId="22" xfId="2" applyNumberFormat="1" applyFont="1" applyFill="1" applyBorder="1" applyAlignment="1">
      <alignment vertical="center"/>
    </xf>
    <xf numFmtId="0" fontId="4" fillId="0" borderId="23" xfId="2" applyNumberFormat="1" applyFont="1" applyFill="1" applyBorder="1" applyAlignment="1">
      <alignment vertical="center"/>
    </xf>
    <xf numFmtId="0" fontId="4" fillId="0" borderId="11" xfId="2" applyNumberFormat="1" applyFont="1" applyFill="1" applyBorder="1" applyAlignment="1">
      <alignment vertical="center"/>
    </xf>
    <xf numFmtId="0" fontId="4" fillId="0" borderId="21" xfId="2" applyNumberFormat="1" applyFont="1" applyFill="1" applyBorder="1" applyAlignment="1">
      <alignment horizontal="center" vertical="center"/>
    </xf>
    <xf numFmtId="1" fontId="4" fillId="0" borderId="14" xfId="2" applyNumberFormat="1" applyFont="1" applyFill="1" applyBorder="1" applyAlignment="1">
      <alignment vertical="center"/>
    </xf>
    <xf numFmtId="1" fontId="4" fillId="0" borderId="12" xfId="2" applyNumberFormat="1" applyFont="1" applyFill="1" applyBorder="1" applyAlignment="1">
      <alignment horizontal="center" vertical="center"/>
    </xf>
    <xf numFmtId="0" fontId="4" fillId="0" borderId="24" xfId="2" applyNumberFormat="1" applyFont="1" applyFill="1" applyBorder="1" applyAlignment="1">
      <alignment vertical="center"/>
    </xf>
    <xf numFmtId="0" fontId="4" fillId="0" borderId="25" xfId="2" applyNumberFormat="1" applyFont="1" applyFill="1" applyBorder="1" applyAlignment="1">
      <alignment vertical="center"/>
    </xf>
    <xf numFmtId="0" fontId="4" fillId="0" borderId="26" xfId="2" applyNumberFormat="1" applyFont="1" applyFill="1" applyBorder="1" applyAlignment="1">
      <alignment vertical="center"/>
    </xf>
    <xf numFmtId="0" fontId="4" fillId="0" borderId="14" xfId="2" applyNumberFormat="1" applyFont="1" applyFill="1" applyBorder="1" applyAlignment="1">
      <alignment vertical="center"/>
    </xf>
    <xf numFmtId="14" fontId="4" fillId="0" borderId="7" xfId="2" applyNumberFormat="1" applyFont="1" applyFill="1" applyBorder="1" applyAlignment="1">
      <alignment horizontal="center" vertical="center"/>
    </xf>
    <xf numFmtId="0" fontId="4" fillId="0" borderId="30" xfId="2" applyNumberFormat="1" applyFont="1" applyFill="1" applyBorder="1" applyAlignment="1">
      <alignment horizontal="center" vertical="center"/>
    </xf>
    <xf numFmtId="0" fontId="4" fillId="0" borderId="27" xfId="2" applyNumberFormat="1" applyFont="1" applyFill="1" applyBorder="1" applyAlignment="1">
      <alignment horizontal="center" vertical="center"/>
    </xf>
    <xf numFmtId="0" fontId="4" fillId="0" borderId="29" xfId="2" applyNumberFormat="1" applyFont="1" applyFill="1" applyBorder="1" applyAlignment="1">
      <alignment vertical="center"/>
    </xf>
    <xf numFmtId="0" fontId="4" fillId="0" borderId="27" xfId="2" applyNumberFormat="1" applyFont="1" applyFill="1" applyBorder="1" applyAlignment="1">
      <alignment vertical="center"/>
    </xf>
    <xf numFmtId="0" fontId="4" fillId="0" borderId="28" xfId="2" applyNumberFormat="1" applyFont="1" applyFill="1" applyBorder="1" applyAlignment="1">
      <alignment vertical="center"/>
    </xf>
    <xf numFmtId="0" fontId="4" fillId="0" borderId="10" xfId="2" applyNumberFormat="1" applyFont="1" applyFill="1" applyBorder="1" applyAlignment="1">
      <alignment vertical="center"/>
    </xf>
    <xf numFmtId="165" fontId="4" fillId="0" borderId="14" xfId="2" applyNumberFormat="1" applyFont="1" applyFill="1" applyBorder="1" applyAlignment="1">
      <alignment vertical="center"/>
    </xf>
    <xf numFmtId="2" fontId="4" fillId="0" borderId="8" xfId="2" applyNumberFormat="1" applyFont="1" applyFill="1" applyBorder="1" applyAlignment="1">
      <alignment horizontal="center" vertical="center"/>
    </xf>
    <xf numFmtId="0" fontId="4" fillId="0" borderId="0" xfId="2" applyNumberFormat="1" applyFont="1" applyFill="1" applyBorder="1" applyAlignment="1">
      <alignment horizontal="right" vertical="center"/>
    </xf>
    <xf numFmtId="0" fontId="4" fillId="0" borderId="16" xfId="2" applyNumberFormat="1" applyFont="1" applyFill="1" applyBorder="1"/>
    <xf numFmtId="0" fontId="4" fillId="0" borderId="5" xfId="2" applyNumberFormat="1" applyFont="1" applyFill="1" applyBorder="1"/>
    <xf numFmtId="0" fontId="4" fillId="0" borderId="6" xfId="2" applyNumberFormat="1" applyFont="1" applyFill="1" applyBorder="1"/>
    <xf numFmtId="0" fontId="11" fillId="0" borderId="0" xfId="2" applyNumberFormat="1" applyFont="1" applyFill="1" applyBorder="1" applyAlignment="1">
      <alignment horizontal="right" vertical="center"/>
    </xf>
    <xf numFmtId="0" fontId="4" fillId="0" borderId="3" xfId="2" applyNumberFormat="1" applyFont="1" applyFill="1" applyBorder="1"/>
    <xf numFmtId="0" fontId="4" fillId="0" borderId="9" xfId="2" applyNumberFormat="1" applyFont="1" applyFill="1" applyBorder="1"/>
    <xf numFmtId="0" fontId="4" fillId="0" borderId="8" xfId="2" applyNumberFormat="1" applyFont="1" applyFill="1" applyBorder="1"/>
    <xf numFmtId="0" fontId="12" fillId="0" borderId="0" xfId="0" applyNumberFormat="1" applyFont="1" applyFill="1" applyBorder="1"/>
    <xf numFmtId="0" fontId="6" fillId="0" borderId="17" xfId="2" applyNumberFormat="1" applyFont="1" applyFill="1" applyBorder="1" applyAlignment="1">
      <alignment vertical="center"/>
    </xf>
    <xf numFmtId="0" fontId="13" fillId="0" borderId="0" xfId="2" applyNumberFormat="1" applyFont="1" applyFill="1" applyBorder="1"/>
    <xf numFmtId="0" fontId="13" fillId="0" borderId="0" xfId="2" applyNumberFormat="1" applyFont="1" applyFill="1" applyBorder="1" applyAlignment="1">
      <alignment horizontal="right" vertical="center"/>
    </xf>
    <xf numFmtId="0" fontId="13" fillId="0" borderId="16" xfId="2" applyNumberFormat="1" applyFont="1" applyFill="1" applyBorder="1" applyAlignment="1">
      <alignment horizontal="centerContinuous" vertical="center" wrapText="1"/>
    </xf>
    <xf numFmtId="0" fontId="13" fillId="0" borderId="2" xfId="2" applyNumberFormat="1" applyFont="1" applyFill="1" applyBorder="1" applyAlignment="1">
      <alignment horizontal="centerContinuous" vertical="center" wrapText="1"/>
    </xf>
    <xf numFmtId="0" fontId="13" fillId="0" borderId="0" xfId="2" applyNumberFormat="1" applyFont="1" applyFill="1" applyBorder="1" applyAlignment="1">
      <alignment horizontal="left"/>
    </xf>
    <xf numFmtId="0" fontId="13" fillId="0" borderId="0" xfId="2" applyNumberFormat="1" applyFont="1" applyFill="1" applyBorder="1"/>
    <xf numFmtId="0" fontId="13" fillId="0" borderId="17" xfId="2" applyNumberFormat="1" applyFont="1" applyFill="1" applyBorder="1" applyAlignment="1">
      <alignment vertical="top"/>
    </xf>
    <xf numFmtId="0" fontId="13" fillId="0" borderId="0" xfId="2" applyNumberFormat="1" applyFont="1" applyFill="1" applyBorder="1" applyAlignment="1">
      <alignment vertical="top"/>
    </xf>
    <xf numFmtId="0" fontId="13" fillId="0" borderId="17" xfId="2" applyNumberFormat="1" applyFont="1" applyFill="1" applyBorder="1"/>
    <xf numFmtId="0" fontId="5" fillId="0" borderId="0" xfId="0" applyNumberFormat="1" applyFont="1" applyFill="1" applyBorder="1"/>
    <xf numFmtId="0" fontId="12" fillId="0" borderId="0" xfId="0" applyNumberFormat="1" applyFont="1" applyFill="1" applyBorder="1" applyAlignment="1">
      <alignment horizontal="left"/>
    </xf>
    <xf numFmtId="0" fontId="13" fillId="0" borderId="18" xfId="2" applyNumberFormat="1" applyFont="1" applyFill="1" applyBorder="1" applyAlignment="1">
      <alignment horizontal="center"/>
    </xf>
    <xf numFmtId="0" fontId="13" fillId="0" borderId="0" xfId="2" applyNumberFormat="1" applyFont="1" applyFill="1" applyBorder="1" applyAlignment="1">
      <alignment horizontal="center"/>
    </xf>
    <xf numFmtId="0" fontId="13" fillId="0" borderId="17" xfId="2" applyNumberFormat="1" applyFont="1" applyFill="1" applyBorder="1" applyAlignment="1">
      <alignment horizontal="center"/>
    </xf>
    <xf numFmtId="0" fontId="13" fillId="0" borderId="5" xfId="2" applyNumberFormat="1" applyFont="1" applyFill="1" applyBorder="1" applyAlignment="1">
      <alignment horizontal="center"/>
    </xf>
    <xf numFmtId="0" fontId="13" fillId="0" borderId="10" xfId="2" applyNumberFormat="1" applyFont="1" applyFill="1" applyBorder="1" applyAlignment="1">
      <alignment horizontal="center"/>
    </xf>
    <xf numFmtId="0" fontId="13" fillId="0" borderId="16" xfId="2" applyNumberFormat="1" applyFont="1" applyFill="1" applyBorder="1" applyAlignment="1">
      <alignment horizontal="center"/>
    </xf>
    <xf numFmtId="0" fontId="13" fillId="0" borderId="2" xfId="2" applyNumberFormat="1" applyFont="1" applyFill="1" applyBorder="1" applyAlignment="1">
      <alignment horizontal="center"/>
    </xf>
    <xf numFmtId="0" fontId="13" fillId="0" borderId="1" xfId="2" applyNumberFormat="1" applyFont="1" applyFill="1" applyBorder="1" applyAlignment="1">
      <alignment horizontal="center"/>
    </xf>
    <xf numFmtId="0" fontId="6" fillId="0" borderId="0" xfId="2" applyNumberFormat="1" applyFont="1" applyFill="1" applyBorder="1" applyAlignment="1"/>
    <xf numFmtId="0" fontId="4" fillId="0" borderId="9" xfId="2" applyNumberFormat="1" applyFont="1" applyFill="1" applyBorder="1" applyAlignment="1">
      <alignment horizontal="center" vertical="center"/>
    </xf>
    <xf numFmtId="0" fontId="6" fillId="0" borderId="19" xfId="2" applyNumberFormat="1" applyFont="1" applyFill="1" applyBorder="1" applyAlignment="1">
      <alignment horizontal="right"/>
    </xf>
    <xf numFmtId="0" fontId="6" fillId="0" borderId="20" xfId="2" applyNumberFormat="1" applyFont="1" applyFill="1" applyBorder="1" applyAlignment="1">
      <alignment horizontal="right"/>
    </xf>
    <xf numFmtId="2" fontId="6" fillId="0" borderId="20" xfId="2" applyNumberFormat="1" applyFont="1" applyFill="1" applyBorder="1" applyAlignment="1">
      <alignment horizontal="right"/>
    </xf>
    <xf numFmtId="0" fontId="4" fillId="0" borderId="11" xfId="2" applyNumberFormat="1" applyFont="1" applyFill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0" fontId="4" fillId="0" borderId="2" xfId="2" applyNumberFormat="1" applyFont="1" applyFill="1" applyBorder="1" applyAlignment="1">
      <alignment horizontal="center" vertical="center"/>
    </xf>
    <xf numFmtId="0" fontId="4" fillId="0" borderId="3" xfId="2" applyNumberFormat="1" applyFont="1" applyFill="1" applyBorder="1" applyAlignment="1">
      <alignment horizontal="center" vertical="center"/>
    </xf>
    <xf numFmtId="0" fontId="4" fillId="0" borderId="16" xfId="2" applyNumberFormat="1" applyFont="1" applyFill="1" applyBorder="1" applyAlignment="1">
      <alignment horizontal="center" vertical="center"/>
    </xf>
    <xf numFmtId="0" fontId="4" fillId="0" borderId="4" xfId="2" applyNumberFormat="1" applyFont="1" applyFill="1" applyBorder="1" applyAlignment="1">
      <alignment horizontal="center" vertical="center"/>
    </xf>
    <xf numFmtId="0" fontId="4" fillId="0" borderId="7" xfId="2" applyNumberFormat="1" applyFont="1" applyFill="1" applyBorder="1" applyAlignment="1">
      <alignment horizontal="center" vertical="center"/>
    </xf>
    <xf numFmtId="0" fontId="4" fillId="0" borderId="12" xfId="2" applyNumberFormat="1" applyFont="1" applyFill="1" applyBorder="1" applyAlignment="1">
      <alignment vertical="center"/>
    </xf>
    <xf numFmtId="0" fontId="4" fillId="0" borderId="8" xfId="2" applyNumberFormat="1" applyFont="1" applyFill="1" applyBorder="1" applyAlignment="1">
      <alignment vertical="center"/>
    </xf>
  </cellXfs>
  <cellStyles count="3">
    <cellStyle name="Normal" xfId="0" builtinId="0"/>
    <cellStyle name="Normal 3" xfId="1"/>
    <cellStyle name="Normal_Travelling 1-7-08" xfId="2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</xdr:row>
      <xdr:rowOff>214313</xdr:rowOff>
    </xdr:from>
    <xdr:to>
      <xdr:col>5</xdr:col>
      <xdr:colOff>1268557</xdr:colOff>
      <xdr:row>7</xdr:row>
      <xdr:rowOff>114300</xdr:rowOff>
    </xdr:to>
    <xdr:pic>
      <xdr:nvPicPr>
        <xdr:cNvPr id="2" name="Picture 4" descr="Header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214313"/>
          <a:ext cx="6381750" cy="7375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63"/>
  <sheetViews>
    <sheetView tabSelected="1" topLeftCell="B5" zoomScale="55" zoomScaleNormal="55" zoomScaleSheetLayoutView="70" workbookViewId="0">
      <selection activeCell="N22" sqref="N22"/>
    </sheetView>
  </sheetViews>
  <sheetFormatPr defaultRowHeight="23.25" x14ac:dyDescent="0.35"/>
  <cols>
    <col min="2" max="2" width="17.28515625" style="60" customWidth="1"/>
    <col min="3" max="3" width="20" style="60" customWidth="1"/>
    <col min="4" max="5" width="20.28515625" style="60" customWidth="1"/>
    <col min="6" max="6" width="25.7109375" style="60" customWidth="1"/>
    <col min="7" max="7" width="19.7109375" style="60" customWidth="1"/>
    <col min="8" max="8" width="108.5703125" style="60" customWidth="1"/>
    <col min="9" max="10" width="9.140625" style="60" customWidth="1"/>
    <col min="11" max="11" width="12.85546875" style="60" customWidth="1"/>
    <col min="12" max="12" width="13.140625" style="60" customWidth="1"/>
    <col min="13" max="13" width="13.85546875" style="60" customWidth="1"/>
    <col min="14" max="14" width="16" style="60" customWidth="1"/>
    <col min="15" max="15" width="16.7109375" style="60" customWidth="1"/>
    <col min="16" max="16" width="12.42578125" style="60" customWidth="1"/>
    <col min="17" max="17" width="9.140625" style="5" customWidth="1"/>
    <col min="18" max="18" width="0.85546875" style="6" customWidth="1"/>
    <col min="19" max="19" width="67.42578125" customWidth="1"/>
    <col min="20" max="22" width="3.5703125" style="5" customWidth="1"/>
    <col min="23" max="23" width="3.85546875" style="5" customWidth="1"/>
    <col min="24" max="29" width="3.5703125" style="5" customWidth="1"/>
    <col min="30" max="30" width="14" style="5" customWidth="1"/>
    <col min="31" max="31" width="9" customWidth="1"/>
    <col min="32" max="32" width="11.140625" bestFit="1" customWidth="1"/>
    <col min="33" max="33" width="14.5703125" bestFit="1" customWidth="1"/>
    <col min="34" max="34" width="10.5703125" bestFit="1" customWidth="1"/>
    <col min="35" max="40" width="2" bestFit="1" customWidth="1"/>
    <col min="41" max="43" width="3" bestFit="1" customWidth="1"/>
    <col min="44" max="52" width="2" bestFit="1" customWidth="1"/>
    <col min="53" max="55" width="3" bestFit="1" customWidth="1"/>
  </cols>
  <sheetData>
    <row r="1" spans="1:56" hidden="1" x14ac:dyDescent="0.35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"/>
      <c r="R1" s="1"/>
    </row>
    <row r="2" spans="1:56" hidden="1" x14ac:dyDescent="0.35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"/>
      <c r="R2" s="1"/>
    </row>
    <row r="3" spans="1:56" hidden="1" x14ac:dyDescent="0.35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1"/>
      <c r="R3" s="1"/>
    </row>
    <row r="4" spans="1:56" hidden="1" x14ac:dyDescent="0.35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1"/>
      <c r="R4" s="1"/>
    </row>
    <row r="5" spans="1:56" s="19" customFormat="1" ht="21" x14ac:dyDescent="0.35">
      <c r="B5" s="9"/>
      <c r="C5" s="9"/>
      <c r="D5" s="9"/>
      <c r="E5" s="20"/>
      <c r="F5" s="20"/>
      <c r="G5" s="9"/>
      <c r="H5" s="9"/>
      <c r="I5" s="20"/>
      <c r="J5" s="9"/>
      <c r="K5" s="9"/>
      <c r="L5" s="9"/>
      <c r="M5" s="9"/>
      <c r="N5" s="9"/>
      <c r="O5" s="9"/>
      <c r="P5" s="9"/>
      <c r="Q5" s="9"/>
      <c r="R5" s="9"/>
    </row>
    <row r="6" spans="1:56" s="19" customFormat="1" ht="24" x14ac:dyDescent="0.55000000000000004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56" s="19" customFormat="1" ht="21" x14ac:dyDescent="0.35">
      <c r="B7" s="11" t="s">
        <v>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56" s="19" customFormat="1" ht="21" x14ac:dyDescent="0.35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56" s="19" customFormat="1" ht="21" x14ac:dyDescent="0.35">
      <c r="B9" s="13" t="s">
        <v>37</v>
      </c>
      <c r="C9" s="14"/>
      <c r="D9" s="14"/>
      <c r="E9" s="14"/>
      <c r="F9" s="14"/>
      <c r="G9" s="14"/>
      <c r="H9" s="61"/>
      <c r="I9" s="12"/>
      <c r="J9" s="12"/>
      <c r="K9" s="13" t="s">
        <v>35</v>
      </c>
      <c r="L9" s="14"/>
      <c r="M9" s="14"/>
      <c r="N9" s="14"/>
      <c r="O9" s="14"/>
      <c r="P9" s="14"/>
      <c r="Q9" s="15"/>
      <c r="R9" s="15"/>
    </row>
    <row r="10" spans="1:56" s="19" customFormat="1" ht="21" x14ac:dyDescent="0.3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56" s="19" customFormat="1" ht="21" x14ac:dyDescent="0.35">
      <c r="B11" s="13" t="s">
        <v>38</v>
      </c>
      <c r="C11" s="14"/>
      <c r="D11" s="14"/>
      <c r="E11" s="14"/>
      <c r="F11" s="14"/>
      <c r="G11" s="14"/>
      <c r="H11" s="61"/>
      <c r="I11" s="15"/>
      <c r="J11" s="15"/>
      <c r="K11" s="13" t="s">
        <v>36</v>
      </c>
      <c r="L11" s="14"/>
      <c r="M11" s="14"/>
      <c r="N11" s="14"/>
      <c r="O11" s="14"/>
      <c r="P11" s="14"/>
      <c r="Q11" s="15"/>
      <c r="R11" s="15"/>
    </row>
    <row r="12" spans="1:56" s="19" customFormat="1" ht="21" x14ac:dyDescent="0.3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56" s="19" customFormat="1" ht="21" x14ac:dyDescent="0.35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56" ht="30.75" customHeight="1" x14ac:dyDescent="0.25">
      <c r="B14" s="24" t="s">
        <v>1</v>
      </c>
      <c r="C14" s="90" t="s">
        <v>2</v>
      </c>
      <c r="D14" s="90"/>
      <c r="E14" s="91" t="s">
        <v>41</v>
      </c>
      <c r="F14" s="90" t="s">
        <v>3</v>
      </c>
      <c r="G14" s="90"/>
      <c r="H14" s="90"/>
      <c r="I14" s="90"/>
      <c r="J14" s="90"/>
      <c r="K14" s="25" t="s">
        <v>4</v>
      </c>
      <c r="L14" s="87" t="s">
        <v>5</v>
      </c>
      <c r="M14" s="88"/>
      <c r="N14" s="87" t="s">
        <v>6</v>
      </c>
      <c r="O14" s="88"/>
      <c r="P14" s="89"/>
      <c r="Q14" s="7"/>
      <c r="R14" s="7"/>
    </row>
    <row r="15" spans="1:56" ht="30.75" customHeight="1" x14ac:dyDescent="0.25">
      <c r="B15" s="26"/>
      <c r="C15" s="27" t="s">
        <v>7</v>
      </c>
      <c r="D15" s="82" t="s">
        <v>8</v>
      </c>
      <c r="E15" s="92"/>
      <c r="F15" s="90" t="s">
        <v>9</v>
      </c>
      <c r="G15" s="90"/>
      <c r="H15" s="90"/>
      <c r="I15" s="90"/>
      <c r="J15" s="90"/>
      <c r="K15" s="26" t="s">
        <v>10</v>
      </c>
      <c r="L15" s="26" t="s">
        <v>11</v>
      </c>
      <c r="M15" s="28" t="s">
        <v>12</v>
      </c>
      <c r="N15" s="87" t="s">
        <v>13</v>
      </c>
      <c r="O15" s="89"/>
      <c r="P15" s="27" t="s">
        <v>14</v>
      </c>
      <c r="Q15" s="7"/>
      <c r="R15" s="7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</row>
    <row r="16" spans="1:56" ht="30.75" customHeight="1" x14ac:dyDescent="0.25">
      <c r="A16">
        <f>COUNTA($C$16:C16)-COUNTBLANK($C$16:C16)</f>
        <v>0</v>
      </c>
      <c r="B16" s="29"/>
      <c r="C16" s="30" t="str">
        <f>IFERROR(VLOOKUP($B16,#REF!,15,0),"")</f>
        <v/>
      </c>
      <c r="D16" s="36" t="str">
        <f>IFERROR(VLOOKUP($B16,#REF!,16,0),"")</f>
        <v/>
      </c>
      <c r="E16" s="31"/>
      <c r="F16" s="32" t="str">
        <f>IF(B16="","",IFERROR(VLOOKUP(B16,#REF!,17,0),IF(WEEKDAY(B16,2)&gt;=6,"WEEKEND",IFERROR(VLOOKUP(DATEVALUE(B16),#REF!,2,0),""))))</f>
        <v/>
      </c>
      <c r="G16" s="33"/>
      <c r="H16" s="33"/>
      <c r="I16" s="33"/>
      <c r="J16" s="34"/>
      <c r="K16" s="93"/>
      <c r="L16" s="32"/>
      <c r="M16" s="36"/>
      <c r="N16" s="37" t="str">
        <f>IFERROR(VLOOKUP($B16,#REF!,19,0),"")</f>
        <v/>
      </c>
      <c r="O16" s="38" t="str">
        <f>IFERROR(VLOOKUP($B16,#REF!,20,0),"")</f>
        <v/>
      </c>
      <c r="P16" s="30"/>
      <c r="Q16" s="7" t="str">
        <f>IFERROR(HOUR(C16)*60+MINUTE(C16),"")</f>
        <v/>
      </c>
      <c r="R16" s="7" t="e">
        <f>((P16-#REF!)/P16)*100</f>
        <v>#REF!</v>
      </c>
      <c r="S16" s="6"/>
      <c r="T16" s="5" t="str">
        <f t="shared" ref="T16:X16" si="0">TRIM(SUBSTITUTE(S16,AF16,""))</f>
        <v/>
      </c>
      <c r="U16" s="5" t="str">
        <f t="shared" si="0"/>
        <v/>
      </c>
      <c r="V16" s="5" t="str">
        <f t="shared" si="0"/>
        <v/>
      </c>
      <c r="W16" s="5" t="str">
        <f t="shared" si="0"/>
        <v/>
      </c>
      <c r="X16" s="5" t="str">
        <f t="shared" si="0"/>
        <v/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8"/>
    </row>
    <row r="17" spans="1:56" ht="30.75" customHeight="1" x14ac:dyDescent="0.25">
      <c r="A17">
        <f>COUNTA($C$16:C17)-COUNTBLANK($C$16:C17)</f>
        <v>0</v>
      </c>
      <c r="B17" s="29"/>
      <c r="C17" s="30" t="str">
        <f>IFERROR(VLOOKUP($B17,#REF!,15,0),"")</f>
        <v/>
      </c>
      <c r="D17" s="86" t="str">
        <f>IFERROR(VLOOKUP($B17,#REF!,16,0),"")</f>
        <v/>
      </c>
      <c r="E17" s="31"/>
      <c r="F17" s="39" t="str">
        <f>IF(B17="","",IFERROR(VLOOKUP(B17,#REF!,17,0),IF(WEEKDAY(B17,2)&gt;=6,"WEEKEND",IFERROR(VLOOKUP(DATEVALUE(B17),#REF!,2,0),""))))</f>
        <v/>
      </c>
      <c r="G17" s="40"/>
      <c r="H17" s="40"/>
      <c r="I17" s="40"/>
      <c r="J17" s="41"/>
      <c r="K17" s="93"/>
      <c r="L17" s="42"/>
      <c r="M17" s="35"/>
      <c r="N17" s="37" t="str">
        <f>IFERROR(VLOOKUP($B17,#REF!,19,0),"")</f>
        <v/>
      </c>
      <c r="O17" s="38" t="str">
        <f>IFERROR(VLOOKUP($B17,#REF!,20,0),"")</f>
        <v/>
      </c>
      <c r="P17" s="30" t="str">
        <f t="shared" ref="P17:P47" si="1">IFERROR($O17-$N17,"")</f>
        <v/>
      </c>
      <c r="Q17" s="7" t="str">
        <f>IFERROR(HOUR(C17)*60+MINUTE(C17),"")</f>
        <v/>
      </c>
      <c r="R17" s="7" t="e">
        <f>((P17-#REF!)/P17)*100</f>
        <v>#VALUE!</v>
      </c>
      <c r="S17" s="6"/>
      <c r="T17" s="5" t="str">
        <f t="shared" ref="T17:T45" si="2">TRIM(SUBSTITUTE(S17,AF17,""))</f>
        <v/>
      </c>
      <c r="U17" s="5" t="str">
        <f t="shared" ref="U17:U45" si="3">TRIM(SUBSTITUTE(T17,AG17,""))</f>
        <v/>
      </c>
      <c r="V17" s="5" t="str">
        <f t="shared" ref="V17:V45" si="4">TRIM(SUBSTITUTE(U17,AH17,""))</f>
        <v/>
      </c>
      <c r="W17" s="5" t="str">
        <f t="shared" ref="W17:W45" si="5">TRIM(SUBSTITUTE(V17,AI17,""))</f>
        <v/>
      </c>
      <c r="X17" s="5" t="str">
        <f t="shared" ref="X17:X45" si="6">TRIM(SUBSTITUTE(W17,AJ17,""))</f>
        <v/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8"/>
    </row>
    <row r="18" spans="1:56" ht="30.75" customHeight="1" x14ac:dyDescent="0.25">
      <c r="A18">
        <f>COUNTA($C$16:C18)-COUNTBLANK($C$16:C18)</f>
        <v>0</v>
      </c>
      <c r="B18" s="29"/>
      <c r="C18" s="30" t="str">
        <f>IFERROR(VLOOKUP($B18,#REF!,15,0),"")</f>
        <v/>
      </c>
      <c r="D18" s="86" t="str">
        <f>IFERROR(VLOOKUP($B18,#REF!,16,0),"")</f>
        <v/>
      </c>
      <c r="E18" s="31"/>
      <c r="F18" s="39" t="str">
        <f>IF(B18="","",IFERROR(VLOOKUP(B18,#REF!,17,0),IF(WEEKDAY(B18,2)&gt;=6,"WEEKEND",IFERROR(VLOOKUP(DATEVALUE(B18),#REF!,2,0),""))))</f>
        <v/>
      </c>
      <c r="G18" s="40"/>
      <c r="H18" s="40"/>
      <c r="I18" s="40"/>
      <c r="J18" s="41"/>
      <c r="K18" s="93"/>
      <c r="L18" s="42"/>
      <c r="M18" s="35"/>
      <c r="N18" s="37" t="str">
        <f>IFERROR(VLOOKUP($B18,#REF!,19,0),"")</f>
        <v/>
      </c>
      <c r="O18" s="38" t="str">
        <f>IFERROR(VLOOKUP($B18,#REF!,20,0),"")</f>
        <v/>
      </c>
      <c r="P18" s="30" t="str">
        <f t="shared" si="1"/>
        <v/>
      </c>
      <c r="Q18" s="7" t="str">
        <f>IFERROR(HOUR(C18)*60+MINUTE(C18),"")</f>
        <v/>
      </c>
      <c r="R18" s="7" t="e">
        <f>((P18-#REF!)/P18)*100</f>
        <v>#VALUE!</v>
      </c>
      <c r="S18" s="6"/>
      <c r="T18" s="5" t="str">
        <f t="shared" si="2"/>
        <v/>
      </c>
      <c r="U18" s="5" t="str">
        <f t="shared" si="3"/>
        <v/>
      </c>
      <c r="V18" s="5" t="str">
        <f t="shared" si="4"/>
        <v/>
      </c>
      <c r="W18" s="5" t="str">
        <f t="shared" si="5"/>
        <v/>
      </c>
      <c r="X18" s="5" t="str">
        <f t="shared" si="6"/>
        <v/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8"/>
    </row>
    <row r="19" spans="1:56" ht="30.75" customHeight="1" x14ac:dyDescent="0.25">
      <c r="A19">
        <f>COUNTA($C$16:C19)-COUNTBLANK($C$16:C19)</f>
        <v>0</v>
      </c>
      <c r="B19" s="29"/>
      <c r="C19" s="30" t="str">
        <f>IFERROR(VLOOKUP($B19,#REF!,15,0),"")</f>
        <v/>
      </c>
      <c r="D19" s="86" t="str">
        <f>IFERROR(VLOOKUP($B19,#REF!,16,0),"")</f>
        <v/>
      </c>
      <c r="E19" s="31"/>
      <c r="F19" s="39" t="str">
        <f>IF(B19="","",IFERROR(VLOOKUP(B19,#REF!,17,0),IF(WEEKDAY(B19,2)&gt;=6,"WEEKEND",IFERROR(VLOOKUP(DATEVALUE(B19),#REF!,2,0),""))))</f>
        <v/>
      </c>
      <c r="G19" s="40"/>
      <c r="H19" s="40"/>
      <c r="I19" s="40"/>
      <c r="J19" s="41"/>
      <c r="K19" s="93"/>
      <c r="L19" s="42"/>
      <c r="M19" s="35" t="s">
        <v>15</v>
      </c>
      <c r="N19" s="37" t="str">
        <f>IFERROR(VLOOKUP($B19,#REF!,19,0),"")</f>
        <v/>
      </c>
      <c r="O19" s="38" t="str">
        <f>IFERROR(VLOOKUP($B19,#REF!,20,0),"")</f>
        <v/>
      </c>
      <c r="P19" s="30"/>
      <c r="Q19" s="7" t="str">
        <f>IFERROR(HOUR(C19)*60+MINUTE(C19),"")</f>
        <v/>
      </c>
      <c r="R19" s="7" t="e">
        <f>((P19-#REF!)/P19)*100</f>
        <v>#REF!</v>
      </c>
      <c r="S19" s="6"/>
      <c r="T19" s="5" t="str">
        <f t="shared" si="2"/>
        <v/>
      </c>
      <c r="U19" s="5" t="str">
        <f t="shared" si="3"/>
        <v/>
      </c>
      <c r="V19" s="5" t="str">
        <f t="shared" si="4"/>
        <v/>
      </c>
      <c r="W19" s="5" t="str">
        <f t="shared" si="5"/>
        <v/>
      </c>
      <c r="X19" s="5" t="str">
        <f t="shared" si="6"/>
        <v/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8"/>
    </row>
    <row r="20" spans="1:56" ht="30.75" customHeight="1" x14ac:dyDescent="0.25">
      <c r="A20">
        <f>COUNTA($C$16:C20)-COUNTBLANK($C$16:C20)</f>
        <v>0</v>
      </c>
      <c r="B20" s="29"/>
      <c r="C20" s="30" t="str">
        <f>IFERROR(VLOOKUP($B20,#REF!,15,0),"")</f>
        <v/>
      </c>
      <c r="D20" s="86" t="str">
        <f>IFERROR(VLOOKUP($B20,#REF!,16,0),"")</f>
        <v/>
      </c>
      <c r="E20" s="31"/>
      <c r="F20" s="39" t="str">
        <f>IF(B20="","",IFERROR(VLOOKUP(B20,#REF!,17,0),IF(WEEKDAY(B20,2)&gt;=6,"WEEKEND",IFERROR(VLOOKUP(DATEVALUE(B20),#REF!,2,0),""))))</f>
        <v/>
      </c>
      <c r="G20" s="40"/>
      <c r="H20" s="40"/>
      <c r="I20" s="40"/>
      <c r="J20" s="41"/>
      <c r="K20" s="93"/>
      <c r="L20" s="42"/>
      <c r="M20" s="35"/>
      <c r="N20" s="37" t="str">
        <f>IFERROR(VLOOKUP($B20,#REF!,19,0),"")</f>
        <v/>
      </c>
      <c r="O20" s="38" t="str">
        <f>IFERROR(VLOOKUP($B20,#REF!,20,0),"")</f>
        <v/>
      </c>
      <c r="P20" s="30" t="str">
        <f t="shared" si="1"/>
        <v/>
      </c>
      <c r="Q20" s="7" t="str">
        <f>IFERROR(HOUR(C20)*60+MINUTE(C20),"")</f>
        <v/>
      </c>
      <c r="R20" s="7" t="e">
        <f>((P20-#REF!)/P20)*100</f>
        <v>#VALUE!</v>
      </c>
      <c r="S20" s="6"/>
      <c r="T20" s="5" t="str">
        <f t="shared" si="2"/>
        <v/>
      </c>
      <c r="U20" s="5" t="str">
        <f t="shared" si="3"/>
        <v/>
      </c>
      <c r="V20" s="5" t="str">
        <f t="shared" si="4"/>
        <v/>
      </c>
      <c r="W20" s="5" t="str">
        <f t="shared" si="5"/>
        <v/>
      </c>
      <c r="X20" s="5" t="str">
        <f t="shared" si="6"/>
        <v/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8"/>
    </row>
    <row r="21" spans="1:56" ht="30.75" customHeight="1" x14ac:dyDescent="0.25">
      <c r="A21">
        <f>COUNTA($C$16:C21)-COUNTBLANK($C$16:C21)</f>
        <v>0</v>
      </c>
      <c r="B21" s="29"/>
      <c r="C21" s="30" t="str">
        <f>IFERROR(VLOOKUP($B21,#REF!,15,0),"")</f>
        <v/>
      </c>
      <c r="D21" s="86" t="str">
        <f>IFERROR(VLOOKUP($B21,#REF!,16,0),"")</f>
        <v/>
      </c>
      <c r="E21" s="31"/>
      <c r="F21" s="39" t="str">
        <f>IF(B21="","",IFERROR(VLOOKUP(B21,#REF!,17,0),IF(WEEKDAY(B21,2)&gt;=6,"WEEKEND",IFERROR(VLOOKUP(DATEVALUE(B21),#REF!,2,0),""))))</f>
        <v/>
      </c>
      <c r="G21" s="40"/>
      <c r="H21" s="40"/>
      <c r="I21" s="40"/>
      <c r="J21" s="41"/>
      <c r="K21" s="93"/>
      <c r="L21" s="42"/>
      <c r="M21" s="35"/>
      <c r="N21" s="37" t="str">
        <f>IFERROR(VLOOKUP($B21,#REF!,19,0),"")</f>
        <v/>
      </c>
      <c r="O21" s="38" t="str">
        <f>IFERROR(VLOOKUP($B21,#REF!,20,0),"")</f>
        <v/>
      </c>
      <c r="P21" s="30" t="str">
        <f t="shared" si="1"/>
        <v/>
      </c>
      <c r="Q21" s="7" t="str">
        <f>IFERROR(HOUR(C21)*60+MINUTE(C21),"")</f>
        <v/>
      </c>
      <c r="R21" s="7" t="e">
        <f>((P21-#REF!)/P21)*100</f>
        <v>#VALUE!</v>
      </c>
      <c r="S21" s="6"/>
      <c r="T21" s="5" t="str">
        <f>TRIM(SUBSTITUTE(S21,AF21,""))</f>
        <v/>
      </c>
      <c r="U21" s="5" t="str">
        <f t="shared" si="3"/>
        <v/>
      </c>
      <c r="V21" s="5" t="str">
        <f t="shared" si="4"/>
        <v/>
      </c>
      <c r="W21" s="5" t="str">
        <f t="shared" si="5"/>
        <v/>
      </c>
      <c r="X21" s="5" t="str">
        <f t="shared" si="6"/>
        <v/>
      </c>
      <c r="AE21" s="5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8"/>
    </row>
    <row r="22" spans="1:56" ht="30.75" customHeight="1" x14ac:dyDescent="0.25">
      <c r="A22">
        <f>COUNTA($C$16:C22)-COUNTBLANK($C$16:C22)</f>
        <v>0</v>
      </c>
      <c r="B22" s="29"/>
      <c r="C22" s="30" t="str">
        <f>IFERROR(VLOOKUP($B22,#REF!,15,0),"")</f>
        <v/>
      </c>
      <c r="D22" s="86" t="str">
        <f>IFERROR(VLOOKUP($B22,#REF!,16,0),"")</f>
        <v/>
      </c>
      <c r="E22" s="31"/>
      <c r="F22" s="39" t="str">
        <f>IF(B22="","",IFERROR(VLOOKUP(B22,#REF!,17,0),IF(WEEKDAY(B22,2)&gt;=6,"WEEKEND",IFERROR(VLOOKUP(DATEVALUE(B22),#REF!,2,0),""))))</f>
        <v/>
      </c>
      <c r="G22" s="40"/>
      <c r="H22" s="40"/>
      <c r="I22" s="40"/>
      <c r="J22" s="41"/>
      <c r="K22" s="93"/>
      <c r="L22" s="42"/>
      <c r="M22" s="35"/>
      <c r="N22" s="37" t="str">
        <f>IFERROR(VLOOKUP($B22,#REF!,19,0),"")</f>
        <v/>
      </c>
      <c r="O22" s="38" t="str">
        <f>IFERROR(VLOOKUP($B22,#REF!,20,0),"")</f>
        <v/>
      </c>
      <c r="P22" s="30" t="str">
        <f t="shared" si="1"/>
        <v/>
      </c>
      <c r="Q22" s="7" t="str">
        <f>IFERROR(HOUR(C22)*60+MINUTE(C22),"")</f>
        <v/>
      </c>
      <c r="R22" s="7" t="e">
        <f>((P22-#REF!)/P22)*100</f>
        <v>#VALUE!</v>
      </c>
      <c r="S22" s="6"/>
      <c r="T22" s="5" t="str">
        <f t="shared" si="2"/>
        <v/>
      </c>
      <c r="U22" s="5" t="str">
        <f t="shared" si="3"/>
        <v/>
      </c>
      <c r="V22" s="5" t="str">
        <f t="shared" si="4"/>
        <v/>
      </c>
      <c r="W22" s="5" t="str">
        <f t="shared" si="5"/>
        <v/>
      </c>
      <c r="X22" s="5" t="str">
        <f t="shared" si="6"/>
        <v/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8"/>
    </row>
    <row r="23" spans="1:56" ht="30.75" customHeight="1" x14ac:dyDescent="0.25">
      <c r="A23">
        <f>COUNTA($C$16:C23)-COUNTBLANK($C$16:C23)</f>
        <v>0</v>
      </c>
      <c r="B23" s="29"/>
      <c r="C23" s="30" t="str">
        <f>IFERROR(VLOOKUP($B23,#REF!,15,0),"")</f>
        <v/>
      </c>
      <c r="D23" s="86" t="str">
        <f>IFERROR(VLOOKUP($B23,#REF!,16,0),"")</f>
        <v/>
      </c>
      <c r="E23" s="31"/>
      <c r="F23" s="39" t="str">
        <f>IF(B23="","",IFERROR(VLOOKUP(B23,#REF!,17,0),IF(WEEKDAY(B23,2)&gt;=6,"WEEKEND",IFERROR(VLOOKUP(DATEVALUE(B23),#REF!,2,0),""))))</f>
        <v/>
      </c>
      <c r="G23" s="40"/>
      <c r="H23" s="40"/>
      <c r="I23" s="40"/>
      <c r="J23" s="41"/>
      <c r="K23" s="93"/>
      <c r="L23" s="42"/>
      <c r="M23" s="35"/>
      <c r="N23" s="37" t="str">
        <f>IFERROR(VLOOKUP($B23,#REF!,19,0),"")</f>
        <v/>
      </c>
      <c r="O23" s="38" t="str">
        <f>IFERROR(VLOOKUP($B23,#REF!,20,0),"")</f>
        <v/>
      </c>
      <c r="P23" s="30" t="str">
        <f t="shared" si="1"/>
        <v/>
      </c>
      <c r="Q23" s="7" t="str">
        <f>IFERROR(HOUR(C23)*60+MINUTE(C23),"")</f>
        <v/>
      </c>
      <c r="R23" s="7" t="e">
        <f>((P23-#REF!)/P23)*100</f>
        <v>#VALUE!</v>
      </c>
      <c r="S23" s="6"/>
      <c r="T23" s="5" t="str">
        <f t="shared" si="2"/>
        <v/>
      </c>
      <c r="U23" s="5" t="str">
        <f t="shared" si="3"/>
        <v/>
      </c>
      <c r="V23" s="5" t="str">
        <f t="shared" si="4"/>
        <v/>
      </c>
      <c r="W23" s="5" t="str">
        <f t="shared" si="5"/>
        <v/>
      </c>
      <c r="X23" s="5" t="str">
        <f t="shared" si="6"/>
        <v/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8"/>
    </row>
    <row r="24" spans="1:56" ht="30.75" customHeight="1" x14ac:dyDescent="0.25">
      <c r="A24">
        <f>COUNTA($C$16:C24)-COUNTBLANK($C$16:C24)</f>
        <v>0</v>
      </c>
      <c r="B24" s="29"/>
      <c r="C24" s="30" t="str">
        <f>IFERROR(VLOOKUP($B24,#REF!,15,0),"")</f>
        <v/>
      </c>
      <c r="D24" s="86" t="str">
        <f>IFERROR(VLOOKUP($B24,#REF!,16,0),"")</f>
        <v/>
      </c>
      <c r="E24" s="31"/>
      <c r="F24" s="39" t="str">
        <f>IF(B24="","",IFERROR(VLOOKUP(B24,#REF!,17,0),IF(WEEKDAY(B24,2)&gt;=6,"WEEKEND",IFERROR(VLOOKUP(DATEVALUE(B24),#REF!,2,0),""))))</f>
        <v/>
      </c>
      <c r="G24" s="40"/>
      <c r="H24" s="40"/>
      <c r="I24" s="40"/>
      <c r="J24" s="41"/>
      <c r="K24" s="93"/>
      <c r="L24" s="42"/>
      <c r="M24" s="35"/>
      <c r="N24" s="37" t="str">
        <f>IFERROR(VLOOKUP($B24,#REF!,19,0),"")</f>
        <v/>
      </c>
      <c r="O24" s="38" t="str">
        <f>IFERROR(VLOOKUP($B24,#REF!,20,0),"")</f>
        <v/>
      </c>
      <c r="P24" s="30" t="str">
        <f t="shared" si="1"/>
        <v/>
      </c>
      <c r="Q24" s="7" t="str">
        <f>IFERROR(HOUR(C24)*60+MINUTE(C24),"")</f>
        <v/>
      </c>
      <c r="R24" s="7" t="e">
        <f>((P24-#REF!)/P24)*100</f>
        <v>#VALUE!</v>
      </c>
      <c r="S24" s="6"/>
      <c r="T24" s="5" t="str">
        <f t="shared" si="2"/>
        <v/>
      </c>
      <c r="U24" s="5" t="str">
        <f t="shared" si="3"/>
        <v/>
      </c>
      <c r="V24" s="5" t="str">
        <f t="shared" si="4"/>
        <v/>
      </c>
      <c r="W24" s="5" t="str">
        <f t="shared" si="5"/>
        <v/>
      </c>
      <c r="X24" s="5" t="str">
        <f t="shared" si="6"/>
        <v/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8"/>
    </row>
    <row r="25" spans="1:56" ht="30.75" customHeight="1" x14ac:dyDescent="0.25">
      <c r="A25">
        <f>COUNTA($C$16:C25)-COUNTBLANK($C$16:C25)</f>
        <v>0</v>
      </c>
      <c r="B25" s="29"/>
      <c r="C25" s="30" t="str">
        <f>IFERROR(VLOOKUP($B25,#REF!,15,0),"")</f>
        <v/>
      </c>
      <c r="D25" s="86" t="str">
        <f>IFERROR(VLOOKUP($B25,#REF!,16,0),"")</f>
        <v/>
      </c>
      <c r="E25" s="31"/>
      <c r="F25" s="39" t="str">
        <f>IF(B25="","",IFERROR(VLOOKUP(B25,#REF!,17,0),IF(WEEKDAY(B25,2)&gt;=6,"WEEKEND",IFERROR(VLOOKUP(DATEVALUE(B25),#REF!,2,0),""))))</f>
        <v/>
      </c>
      <c r="G25" s="40"/>
      <c r="H25" s="40"/>
      <c r="I25" s="40"/>
      <c r="J25" s="41"/>
      <c r="K25" s="93"/>
      <c r="L25" s="42"/>
      <c r="M25" s="35"/>
      <c r="N25" s="37" t="str">
        <f>IFERROR(VLOOKUP($B25,#REF!,19,0),"")</f>
        <v/>
      </c>
      <c r="O25" s="38" t="str">
        <f>IFERROR(VLOOKUP($B25,#REF!,20,0),"")</f>
        <v/>
      </c>
      <c r="P25" s="30" t="str">
        <f t="shared" si="1"/>
        <v/>
      </c>
      <c r="Q25" s="7" t="str">
        <f>IFERROR(HOUR(C25)*60+MINUTE(C25),"")</f>
        <v/>
      </c>
      <c r="R25" s="7" t="e">
        <f>((P25-#REF!)/P25)*100</f>
        <v>#VALUE!</v>
      </c>
      <c r="S25" s="6"/>
      <c r="T25" s="5" t="str">
        <f t="shared" si="2"/>
        <v/>
      </c>
      <c r="U25" s="5" t="str">
        <f t="shared" si="3"/>
        <v/>
      </c>
      <c r="V25" s="5" t="str">
        <f t="shared" si="4"/>
        <v/>
      </c>
      <c r="W25" s="5" t="str">
        <f t="shared" si="5"/>
        <v/>
      </c>
      <c r="X25" s="5" t="str">
        <f t="shared" si="6"/>
        <v/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8"/>
    </row>
    <row r="26" spans="1:56" ht="30.75" customHeight="1" x14ac:dyDescent="0.25">
      <c r="A26">
        <f>COUNTA($C$16:C26)-COUNTBLANK($C$16:C26)</f>
        <v>0</v>
      </c>
      <c r="B26" s="29"/>
      <c r="C26" s="30" t="str">
        <f>IFERROR(VLOOKUP($B26,#REF!,15,0),"")</f>
        <v/>
      </c>
      <c r="D26" s="86" t="str">
        <f>IFERROR(VLOOKUP($B26,#REF!,16,0),"")</f>
        <v/>
      </c>
      <c r="E26" s="31"/>
      <c r="F26" s="39" t="str">
        <f>IF(B26="","",IFERROR(VLOOKUP(B26,#REF!,17,0),IF(WEEKDAY(B26,2)&gt;=6,"WEEKEND",IFERROR(VLOOKUP(DATEVALUE(B26),#REF!,2,0),""))))</f>
        <v/>
      </c>
      <c r="G26" s="40"/>
      <c r="H26" s="40"/>
      <c r="I26" s="40"/>
      <c r="J26" s="41"/>
      <c r="K26" s="93"/>
      <c r="L26" s="42"/>
      <c r="M26" s="35"/>
      <c r="N26" s="37" t="str">
        <f>IFERROR(VLOOKUP($B26,#REF!,19,0),"")</f>
        <v/>
      </c>
      <c r="O26" s="38" t="str">
        <f>IFERROR(VLOOKUP($B26,#REF!,20,0),"")</f>
        <v/>
      </c>
      <c r="P26" s="30" t="str">
        <f t="shared" si="1"/>
        <v/>
      </c>
      <c r="Q26" s="7" t="str">
        <f>IFERROR(HOUR(C26)*60+MINUTE(C26),"")</f>
        <v/>
      </c>
      <c r="R26" s="7" t="e">
        <f>((P26-#REF!)/P26)*100</f>
        <v>#VALUE!</v>
      </c>
      <c r="S26" s="6"/>
      <c r="T26" s="5" t="str">
        <f t="shared" si="2"/>
        <v/>
      </c>
      <c r="U26" s="5" t="str">
        <f t="shared" si="3"/>
        <v/>
      </c>
      <c r="V26" s="5" t="str">
        <f t="shared" si="4"/>
        <v/>
      </c>
      <c r="W26" s="5" t="str">
        <f t="shared" si="5"/>
        <v/>
      </c>
      <c r="X26" s="5" t="str">
        <f t="shared" si="6"/>
        <v/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8"/>
    </row>
    <row r="27" spans="1:56" ht="30.75" customHeight="1" x14ac:dyDescent="0.25">
      <c r="A27">
        <f>COUNTA($C$16:C27)-COUNTBLANK($C$16:C27)</f>
        <v>0</v>
      </c>
      <c r="B27" s="29"/>
      <c r="C27" s="30" t="str">
        <f>IFERROR(VLOOKUP($B27,#REF!,15,0),"")</f>
        <v/>
      </c>
      <c r="D27" s="86" t="str">
        <f>IFERROR(VLOOKUP($B27,#REF!,16,0),"")</f>
        <v/>
      </c>
      <c r="E27" s="31"/>
      <c r="F27" s="39" t="str">
        <f>IF(B27="","",IFERROR(VLOOKUP(B27,#REF!,17,0),IF(WEEKDAY(B27,2)&gt;=6,"WEEKEND",IFERROR(VLOOKUP(DATEVALUE(B27),#REF!,2,0),""))))</f>
        <v/>
      </c>
      <c r="G27" s="40"/>
      <c r="H27" s="40"/>
      <c r="I27" s="40"/>
      <c r="J27" s="41"/>
      <c r="K27" s="93"/>
      <c r="L27" s="42"/>
      <c r="M27" s="35"/>
      <c r="N27" s="37" t="str">
        <f>IFERROR(VLOOKUP($B27,#REF!,19,0),"")</f>
        <v/>
      </c>
      <c r="O27" s="38" t="str">
        <f>IFERROR(VLOOKUP($B27,#REF!,20,0),"")</f>
        <v/>
      </c>
      <c r="P27" s="30" t="str">
        <f t="shared" si="1"/>
        <v/>
      </c>
      <c r="Q27" s="7" t="str">
        <f>IFERROR(HOUR(C27)*60+MINUTE(C27),"")</f>
        <v/>
      </c>
      <c r="R27" s="7" t="e">
        <f>((P27-#REF!)/P27)*100</f>
        <v>#VALUE!</v>
      </c>
      <c r="S27" s="6"/>
      <c r="T27" s="5" t="str">
        <f t="shared" si="2"/>
        <v/>
      </c>
      <c r="U27" s="5" t="str">
        <f t="shared" si="3"/>
        <v/>
      </c>
      <c r="V27" s="5" t="str">
        <f t="shared" si="4"/>
        <v/>
      </c>
      <c r="W27" s="5" t="str">
        <f t="shared" si="5"/>
        <v/>
      </c>
      <c r="X27" s="5" t="str">
        <f t="shared" si="6"/>
        <v/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8"/>
    </row>
    <row r="28" spans="1:56" ht="30.75" customHeight="1" x14ac:dyDescent="0.25">
      <c r="A28">
        <f>COUNTA($C$16:C28)-COUNTBLANK($C$16:C28)</f>
        <v>0</v>
      </c>
      <c r="B28" s="29"/>
      <c r="C28" s="30" t="str">
        <f>IFERROR(VLOOKUP($B28,#REF!,15,0),"")</f>
        <v/>
      </c>
      <c r="D28" s="86" t="str">
        <f>IFERROR(VLOOKUP($B28,#REF!,16,0),"")</f>
        <v/>
      </c>
      <c r="E28" s="31"/>
      <c r="F28" s="39" t="str">
        <f>IF(B28="","",IFERROR(VLOOKUP(B28,#REF!,17,0),IF(WEEKDAY(B28,2)&gt;=6,"WEEKEND",IFERROR(VLOOKUP(DATEVALUE(B28),#REF!,2,0),""))))</f>
        <v/>
      </c>
      <c r="G28" s="40"/>
      <c r="H28" s="40"/>
      <c r="I28" s="40"/>
      <c r="J28" s="41"/>
      <c r="K28" s="93"/>
      <c r="L28" s="42"/>
      <c r="M28" s="35"/>
      <c r="N28" s="37" t="str">
        <f>IFERROR(VLOOKUP($B28,#REF!,19,0),"")</f>
        <v/>
      </c>
      <c r="O28" s="38" t="str">
        <f>IFERROR(VLOOKUP($B28,#REF!,20,0),"")</f>
        <v/>
      </c>
      <c r="P28" s="30" t="str">
        <f t="shared" si="1"/>
        <v/>
      </c>
      <c r="Q28" s="7" t="str">
        <f>IFERROR(HOUR(C28)*60+MINUTE(C28),"")</f>
        <v/>
      </c>
      <c r="R28" s="7" t="e">
        <f>((P28-#REF!)/P28)*100</f>
        <v>#VALUE!</v>
      </c>
      <c r="S28" s="6"/>
      <c r="T28" s="5" t="str">
        <f t="shared" si="2"/>
        <v/>
      </c>
      <c r="U28" s="5" t="str">
        <f t="shared" si="3"/>
        <v/>
      </c>
      <c r="V28" s="5" t="str">
        <f t="shared" si="4"/>
        <v/>
      </c>
      <c r="W28" s="5" t="str">
        <f t="shared" si="5"/>
        <v/>
      </c>
      <c r="X28" s="5" t="str">
        <f t="shared" si="6"/>
        <v/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8"/>
    </row>
    <row r="29" spans="1:56" ht="30.75" customHeight="1" x14ac:dyDescent="0.25">
      <c r="A29">
        <f>COUNTA($C$16:C29)-COUNTBLANK($C$16:C29)</f>
        <v>0</v>
      </c>
      <c r="B29" s="29"/>
      <c r="C29" s="30" t="str">
        <f>IFERROR(VLOOKUP($B29,#REF!,15,0),"")</f>
        <v/>
      </c>
      <c r="D29" s="86" t="str">
        <f>IFERROR(VLOOKUP($B29,#REF!,16,0),"")</f>
        <v/>
      </c>
      <c r="E29" s="31"/>
      <c r="F29" s="39" t="str">
        <f>IF(B29="","",IFERROR(VLOOKUP(B29,#REF!,17,0),IF(WEEKDAY(B29,2)&gt;=6,"WEEKEND",IFERROR(VLOOKUP(DATEVALUE(B29),#REF!,2,0),""))))</f>
        <v/>
      </c>
      <c r="G29" s="40"/>
      <c r="H29" s="40"/>
      <c r="I29" s="40"/>
      <c r="J29" s="41"/>
      <c r="K29" s="93"/>
      <c r="L29" s="42"/>
      <c r="M29" s="35"/>
      <c r="N29" s="37" t="str">
        <f>IFERROR(VLOOKUP($B29,#REF!,19,0),"")</f>
        <v/>
      </c>
      <c r="O29" s="38" t="str">
        <f>IFERROR(VLOOKUP($B29,#REF!,20,0),"")</f>
        <v/>
      </c>
      <c r="P29" s="30" t="str">
        <f t="shared" si="1"/>
        <v/>
      </c>
      <c r="Q29" s="7" t="str">
        <f>IFERROR(HOUR(C29)*60+MINUTE(C29),"")</f>
        <v/>
      </c>
      <c r="R29" s="7" t="e">
        <f>((P29-#REF!)/P29)*100</f>
        <v>#VALUE!</v>
      </c>
      <c r="S29" s="6"/>
      <c r="T29" s="5" t="str">
        <f t="shared" si="2"/>
        <v/>
      </c>
      <c r="U29" s="5" t="str">
        <f t="shared" si="3"/>
        <v/>
      </c>
      <c r="V29" s="5" t="str">
        <f t="shared" si="4"/>
        <v/>
      </c>
      <c r="W29" s="5" t="str">
        <f t="shared" si="5"/>
        <v/>
      </c>
      <c r="X29" s="5" t="str">
        <f t="shared" si="6"/>
        <v/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8"/>
    </row>
    <row r="30" spans="1:56" ht="30.75" customHeight="1" x14ac:dyDescent="0.25">
      <c r="A30">
        <f>COUNTA($C$16:C30)-COUNTBLANK($C$16:C30)</f>
        <v>0</v>
      </c>
      <c r="B30" s="29"/>
      <c r="C30" s="30" t="str">
        <f>IFERROR(VLOOKUP($B30,#REF!,15,0),"")</f>
        <v/>
      </c>
      <c r="D30" s="86" t="str">
        <f>IFERROR(VLOOKUP($B30,#REF!,16,0),"")</f>
        <v/>
      </c>
      <c r="E30" s="31"/>
      <c r="F30" s="39" t="str">
        <f>IF(B30="","",IFERROR(VLOOKUP(B30,#REF!,17,0),IF(WEEKDAY(B30,2)&gt;=6,"WEEKEND",IFERROR(VLOOKUP(DATEVALUE(B30),#REF!,2,0),""))))</f>
        <v/>
      </c>
      <c r="G30" s="40"/>
      <c r="H30" s="40"/>
      <c r="I30" s="40"/>
      <c r="J30" s="41"/>
      <c r="K30" s="93"/>
      <c r="L30" s="42"/>
      <c r="M30" s="35"/>
      <c r="N30" s="37" t="str">
        <f>IFERROR(VLOOKUP($B30,#REF!,19,0),"")</f>
        <v/>
      </c>
      <c r="O30" s="38" t="str">
        <f>IFERROR(VLOOKUP($B30,#REF!,20,0),"")</f>
        <v/>
      </c>
      <c r="P30" s="30" t="str">
        <f t="shared" si="1"/>
        <v/>
      </c>
      <c r="Q30" s="7" t="str">
        <f>IFERROR(HOUR(C30)*60+MINUTE(C30),"")</f>
        <v/>
      </c>
      <c r="R30" s="7" t="e">
        <f>((P30-#REF!)/P30)*100</f>
        <v>#VALUE!</v>
      </c>
      <c r="S30" s="6"/>
      <c r="T30" s="5" t="str">
        <f t="shared" si="2"/>
        <v/>
      </c>
      <c r="U30" s="5" t="str">
        <f t="shared" si="3"/>
        <v/>
      </c>
      <c r="V30" s="5" t="str">
        <f t="shared" si="4"/>
        <v/>
      </c>
      <c r="W30" s="5" t="str">
        <f t="shared" si="5"/>
        <v/>
      </c>
      <c r="X30" s="5" t="str">
        <f t="shared" si="6"/>
        <v/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8"/>
    </row>
    <row r="31" spans="1:56" ht="30.75" customHeight="1" x14ac:dyDescent="0.25">
      <c r="A31">
        <f>COUNTA($C$16:C31)-COUNTBLANK($C$16:C31)</f>
        <v>0</v>
      </c>
      <c r="B31" s="29"/>
      <c r="C31" s="30" t="str">
        <f>IFERROR(VLOOKUP($B31,#REF!,15,0),"")</f>
        <v/>
      </c>
      <c r="D31" s="86" t="str">
        <f>IFERROR(VLOOKUP($B31,#REF!,16,0),"")</f>
        <v/>
      </c>
      <c r="E31" s="31"/>
      <c r="F31" s="39" t="str">
        <f>IF(B31="","",IFERROR(VLOOKUP(B31,#REF!,17,0),IF(WEEKDAY(B31,2)&gt;=6,"WEEKEND",IFERROR(VLOOKUP(DATEVALUE(B31),#REF!,2,0),""))))</f>
        <v/>
      </c>
      <c r="G31" s="40"/>
      <c r="H31" s="40"/>
      <c r="I31" s="40"/>
      <c r="J31" s="41"/>
      <c r="K31" s="93"/>
      <c r="L31" s="42"/>
      <c r="M31" s="35"/>
      <c r="N31" s="37" t="str">
        <f>IFERROR(VLOOKUP($B31,#REF!,19,0),"")</f>
        <v/>
      </c>
      <c r="O31" s="38" t="str">
        <f>IFERROR(VLOOKUP($B31,#REF!,20,0),"")</f>
        <v/>
      </c>
      <c r="P31" s="30" t="str">
        <f t="shared" si="1"/>
        <v/>
      </c>
      <c r="Q31" s="7" t="str">
        <f>IFERROR(HOUR(C31)*60+MINUTE(C31),"")</f>
        <v/>
      </c>
      <c r="R31" s="7" t="e">
        <f>((P31-#REF!)/P31)*100</f>
        <v>#VALUE!</v>
      </c>
      <c r="S31" s="6"/>
      <c r="T31" s="5" t="str">
        <f t="shared" si="2"/>
        <v/>
      </c>
      <c r="U31" s="5" t="str">
        <f t="shared" si="3"/>
        <v/>
      </c>
      <c r="V31" s="5" t="str">
        <f t="shared" si="4"/>
        <v/>
      </c>
      <c r="W31" s="5" t="str">
        <f t="shared" si="5"/>
        <v/>
      </c>
      <c r="X31" s="5" t="str">
        <f t="shared" si="6"/>
        <v/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8"/>
    </row>
    <row r="32" spans="1:56" ht="30.75" customHeight="1" x14ac:dyDescent="0.25">
      <c r="A32">
        <f>COUNTA($C$16:C32)-COUNTBLANK($C$16:C32)</f>
        <v>0</v>
      </c>
      <c r="B32" s="29"/>
      <c r="C32" s="30" t="str">
        <f>IFERROR(VLOOKUP($B32,#REF!,15,0),"")</f>
        <v/>
      </c>
      <c r="D32" s="86" t="str">
        <f>IFERROR(VLOOKUP($B32,#REF!,16,0),"")</f>
        <v/>
      </c>
      <c r="E32" s="31"/>
      <c r="F32" s="39" t="str">
        <f>IF(B32="","",IFERROR(VLOOKUP(B32,#REF!,17,0),IF(WEEKDAY(B32,2)&gt;=6,"WEEKEND",IFERROR(VLOOKUP(DATEVALUE(B32),#REF!,2,0),""))))</f>
        <v/>
      </c>
      <c r="G32" s="40"/>
      <c r="H32" s="40"/>
      <c r="I32" s="40"/>
      <c r="J32" s="41"/>
      <c r="K32" s="93"/>
      <c r="L32" s="42"/>
      <c r="M32" s="35"/>
      <c r="N32" s="37" t="str">
        <f>IFERROR(VLOOKUP($B32,#REF!,19,0),"")</f>
        <v/>
      </c>
      <c r="O32" s="38" t="str">
        <f>IFERROR(VLOOKUP($B32,#REF!,20,0),"")</f>
        <v/>
      </c>
      <c r="P32" s="30" t="str">
        <f t="shared" si="1"/>
        <v/>
      </c>
      <c r="Q32" s="7" t="str">
        <f>IFERROR(HOUR(C32)*60+MINUTE(C32),"")</f>
        <v/>
      </c>
      <c r="R32" s="7" t="e">
        <f>((P32-#REF!)/P32)*100</f>
        <v>#VALUE!</v>
      </c>
      <c r="S32" s="6"/>
      <c r="T32" s="5" t="str">
        <f t="shared" si="2"/>
        <v/>
      </c>
      <c r="U32" s="5" t="str">
        <f t="shared" si="3"/>
        <v/>
      </c>
      <c r="V32" s="5" t="str">
        <f t="shared" si="4"/>
        <v/>
      </c>
      <c r="W32" s="5" t="str">
        <f t="shared" si="5"/>
        <v/>
      </c>
      <c r="X32" s="5" t="str">
        <f t="shared" si="6"/>
        <v/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8"/>
    </row>
    <row r="33" spans="1:56" ht="30.75" customHeight="1" x14ac:dyDescent="0.25">
      <c r="A33">
        <f>COUNTA($C$16:C33)-COUNTBLANK($C$16:C33)</f>
        <v>0</v>
      </c>
      <c r="B33" s="29"/>
      <c r="C33" s="30" t="str">
        <f>IFERROR(VLOOKUP($B33,#REF!,15,0),"")</f>
        <v/>
      </c>
      <c r="D33" s="86" t="str">
        <f>IFERROR(VLOOKUP($B33,#REF!,16,0),"")</f>
        <v/>
      </c>
      <c r="E33" s="31"/>
      <c r="F33" s="39" t="str">
        <f>IF(B33="","",IFERROR(VLOOKUP(B33,#REF!,17,0),IF(WEEKDAY(B33,2)&gt;=6,"WEEKEND",IFERROR(VLOOKUP(DATEVALUE(B33),#REF!,2,0),""))))</f>
        <v/>
      </c>
      <c r="G33" s="40"/>
      <c r="H33" s="40"/>
      <c r="I33" s="40"/>
      <c r="J33" s="41"/>
      <c r="K33" s="93"/>
      <c r="L33" s="42"/>
      <c r="M33" s="35"/>
      <c r="N33" s="37" t="str">
        <f>IFERROR(VLOOKUP($B33,#REF!,19,0),"")</f>
        <v/>
      </c>
      <c r="O33" s="38" t="str">
        <f>IFERROR(VLOOKUP($B33,#REF!,20,0),"")</f>
        <v/>
      </c>
      <c r="P33" s="30" t="str">
        <f t="shared" si="1"/>
        <v/>
      </c>
      <c r="Q33" s="7" t="str">
        <f>IFERROR(HOUR(C33)*60+MINUTE(C33),"")</f>
        <v/>
      </c>
      <c r="R33" s="7" t="e">
        <f>((P33-#REF!)/P33)*100</f>
        <v>#VALUE!</v>
      </c>
      <c r="S33" s="6"/>
      <c r="T33" s="5" t="str">
        <f t="shared" si="2"/>
        <v/>
      </c>
      <c r="U33" s="5" t="str">
        <f t="shared" si="3"/>
        <v/>
      </c>
      <c r="V33" s="5" t="str">
        <f t="shared" si="4"/>
        <v/>
      </c>
      <c r="W33" s="5" t="str">
        <f t="shared" si="5"/>
        <v/>
      </c>
      <c r="X33" s="5" t="str">
        <f t="shared" si="6"/>
        <v/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8"/>
    </row>
    <row r="34" spans="1:56" ht="30.75" customHeight="1" x14ac:dyDescent="0.25">
      <c r="A34">
        <f>COUNTA($C$16:C34)-COUNTBLANK($C$16:C34)</f>
        <v>0</v>
      </c>
      <c r="B34" s="29"/>
      <c r="C34" s="30" t="str">
        <f>IFERROR(VLOOKUP($B34,#REF!,15,0),"")</f>
        <v/>
      </c>
      <c r="D34" s="86" t="str">
        <f>IFERROR(VLOOKUP($B34,#REF!,16,0),"")</f>
        <v/>
      </c>
      <c r="E34" s="31"/>
      <c r="F34" s="39" t="str">
        <f>IF(B34="","",IFERROR(VLOOKUP(B34,#REF!,17,0),IF(WEEKDAY(B34,2)&gt;=6,"WEEKEND",IFERROR(VLOOKUP(DATEVALUE(B34),#REF!,2,0),""))))</f>
        <v/>
      </c>
      <c r="G34" s="40"/>
      <c r="H34" s="40"/>
      <c r="I34" s="40"/>
      <c r="J34" s="41"/>
      <c r="K34" s="93"/>
      <c r="L34" s="42"/>
      <c r="M34" s="35"/>
      <c r="N34" s="37" t="str">
        <f>IFERROR(VLOOKUP($B34,#REF!,19,0),"")</f>
        <v/>
      </c>
      <c r="O34" s="38" t="str">
        <f>IFERROR(VLOOKUP($B34,#REF!,20,0),"")</f>
        <v/>
      </c>
      <c r="P34" s="30" t="str">
        <f t="shared" si="1"/>
        <v/>
      </c>
      <c r="Q34" s="7" t="str">
        <f>IFERROR(HOUR(C34)*60+MINUTE(C34),"")</f>
        <v/>
      </c>
      <c r="R34" s="7" t="e">
        <f>((P34-#REF!)/P34)*100</f>
        <v>#VALUE!</v>
      </c>
      <c r="S34" s="6"/>
      <c r="T34" s="5" t="str">
        <f t="shared" si="2"/>
        <v/>
      </c>
      <c r="U34" s="5" t="str">
        <f t="shared" si="3"/>
        <v/>
      </c>
      <c r="V34" s="5" t="str">
        <f t="shared" si="4"/>
        <v/>
      </c>
      <c r="W34" s="5" t="str">
        <f t="shared" si="5"/>
        <v/>
      </c>
      <c r="X34" s="5" t="str">
        <f t="shared" si="6"/>
        <v/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8"/>
    </row>
    <row r="35" spans="1:56" ht="30.75" customHeight="1" x14ac:dyDescent="0.25">
      <c r="A35">
        <f>COUNTA($C$16:C35)-COUNTBLANK($C$16:C35)</f>
        <v>0</v>
      </c>
      <c r="B35" s="29"/>
      <c r="C35" s="30" t="str">
        <f>IFERROR(VLOOKUP($B35,#REF!,15,0),"")</f>
        <v/>
      </c>
      <c r="D35" s="86" t="str">
        <f>IFERROR(VLOOKUP($B35,#REF!,16,0),"")</f>
        <v/>
      </c>
      <c r="E35" s="31"/>
      <c r="F35" s="39" t="str">
        <f>IF(B35="","",IFERROR(VLOOKUP(B35,#REF!,17,0),IF(WEEKDAY(B35,2)&gt;=6,"WEEKEND",IFERROR(VLOOKUP(DATEVALUE(B35),#REF!,2,0),""))))</f>
        <v/>
      </c>
      <c r="G35" s="40"/>
      <c r="H35" s="40"/>
      <c r="I35" s="40"/>
      <c r="J35" s="41"/>
      <c r="K35" s="93"/>
      <c r="L35" s="42"/>
      <c r="M35" s="35"/>
      <c r="N35" s="37" t="str">
        <f>IFERROR(VLOOKUP($B35,#REF!,19,0),"")</f>
        <v/>
      </c>
      <c r="O35" s="38" t="str">
        <f>IFERROR(VLOOKUP($B35,#REF!,20,0),"")</f>
        <v/>
      </c>
      <c r="P35" s="30" t="str">
        <f t="shared" si="1"/>
        <v/>
      </c>
      <c r="Q35" s="7" t="str">
        <f>IFERROR(HOUR(C35)*60+MINUTE(C35),"")</f>
        <v/>
      </c>
      <c r="R35" s="7" t="e">
        <f>((P35-#REF!)/P35)*100</f>
        <v>#VALUE!</v>
      </c>
      <c r="S35" s="6"/>
      <c r="T35" s="5" t="str">
        <f t="shared" si="2"/>
        <v/>
      </c>
      <c r="U35" s="5" t="str">
        <f t="shared" si="3"/>
        <v/>
      </c>
      <c r="V35" s="5" t="str">
        <f t="shared" si="4"/>
        <v/>
      </c>
      <c r="W35" s="5" t="str">
        <f t="shared" si="5"/>
        <v/>
      </c>
      <c r="X35" s="5" t="str">
        <f t="shared" si="6"/>
        <v/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8"/>
    </row>
    <row r="36" spans="1:56" ht="30.75" customHeight="1" x14ac:dyDescent="0.25">
      <c r="A36">
        <f>COUNTA($C$16:C36)-COUNTBLANK($C$16:C36)</f>
        <v>0</v>
      </c>
      <c r="B36" s="29"/>
      <c r="C36" s="30" t="str">
        <f>IFERROR(VLOOKUP($B36,#REF!,15,0),"")</f>
        <v/>
      </c>
      <c r="D36" s="86" t="str">
        <f>IFERROR(VLOOKUP($B36,#REF!,16,0),"")</f>
        <v/>
      </c>
      <c r="E36" s="31"/>
      <c r="F36" s="39" t="str">
        <f>IF(B36="","",IFERROR(VLOOKUP(B36,#REF!,17,0),IF(WEEKDAY(B36,2)&gt;=6,"WEEKEND",IFERROR(VLOOKUP(DATEVALUE(B36),#REF!,2,0),""))))</f>
        <v/>
      </c>
      <c r="G36" s="40"/>
      <c r="H36" s="40"/>
      <c r="I36" s="40"/>
      <c r="J36" s="41"/>
      <c r="K36" s="93"/>
      <c r="L36" s="42"/>
      <c r="M36" s="35"/>
      <c r="N36" s="37" t="str">
        <f>IFERROR(VLOOKUP($B36,#REF!,19,0),"")</f>
        <v/>
      </c>
      <c r="O36" s="38" t="str">
        <f>IFERROR(VLOOKUP($B36,#REF!,20,0),"")</f>
        <v/>
      </c>
      <c r="P36" s="30" t="str">
        <f t="shared" si="1"/>
        <v/>
      </c>
      <c r="Q36" s="7" t="str">
        <f>IFERROR(HOUR(C36)*60+MINUTE(C36),"")</f>
        <v/>
      </c>
      <c r="R36" s="7" t="e">
        <f>((P36-#REF!)/P36)*100</f>
        <v>#VALUE!</v>
      </c>
      <c r="S36" s="6"/>
      <c r="T36" s="5" t="str">
        <f t="shared" si="2"/>
        <v/>
      </c>
      <c r="U36" s="5" t="str">
        <f t="shared" si="3"/>
        <v/>
      </c>
      <c r="V36" s="5" t="str">
        <f t="shared" si="4"/>
        <v/>
      </c>
      <c r="W36" s="5" t="str">
        <f t="shared" si="5"/>
        <v/>
      </c>
      <c r="X36" s="5" t="str">
        <f t="shared" si="6"/>
        <v/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8"/>
    </row>
    <row r="37" spans="1:56" ht="30.75" customHeight="1" x14ac:dyDescent="0.25">
      <c r="A37">
        <f>COUNTA($C$16:C37)-COUNTBLANK($C$16:C37)</f>
        <v>0</v>
      </c>
      <c r="B37" s="29"/>
      <c r="C37" s="30" t="str">
        <f>IFERROR(VLOOKUP($B37,#REF!,15,0),"")</f>
        <v/>
      </c>
      <c r="D37" s="86" t="str">
        <f>IFERROR(VLOOKUP($B37,#REF!,16,0),"")</f>
        <v/>
      </c>
      <c r="E37" s="31"/>
      <c r="F37" s="39" t="str">
        <f>IF(B37="","",IFERROR(VLOOKUP(B37,#REF!,17,0),IF(WEEKDAY(B37,2)&gt;=6,"WEEKEND",IFERROR(VLOOKUP(DATEVALUE(B37),#REF!,2,0),""))))</f>
        <v/>
      </c>
      <c r="G37" s="40"/>
      <c r="H37" s="40"/>
      <c r="I37" s="40"/>
      <c r="J37" s="41"/>
      <c r="K37" s="93"/>
      <c r="L37" s="42"/>
      <c r="M37" s="35"/>
      <c r="N37" s="37" t="str">
        <f>IFERROR(VLOOKUP($B37,#REF!,19,0),"")</f>
        <v/>
      </c>
      <c r="O37" s="38" t="str">
        <f>IFERROR(VLOOKUP($B37,#REF!,20,0),"")</f>
        <v/>
      </c>
      <c r="P37" s="30" t="str">
        <f t="shared" si="1"/>
        <v/>
      </c>
      <c r="Q37" s="7" t="str">
        <f>IFERROR(HOUR(C37)*60+MINUTE(C37),"")</f>
        <v/>
      </c>
      <c r="R37" s="7" t="e">
        <f>((P37-#REF!)/P37)*100</f>
        <v>#VALUE!</v>
      </c>
      <c r="S37" s="6"/>
      <c r="T37" s="5" t="str">
        <f t="shared" si="2"/>
        <v/>
      </c>
      <c r="U37" s="5" t="str">
        <f t="shared" si="3"/>
        <v/>
      </c>
      <c r="V37" s="5" t="str">
        <f t="shared" si="4"/>
        <v/>
      </c>
      <c r="W37" s="5" t="str">
        <f t="shared" si="5"/>
        <v/>
      </c>
      <c r="X37" s="5" t="str">
        <f t="shared" si="6"/>
        <v/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8"/>
    </row>
    <row r="38" spans="1:56" ht="30.75" customHeight="1" x14ac:dyDescent="0.25">
      <c r="A38">
        <f>COUNTA($C$16:C38)-COUNTBLANK($C$16:C38)</f>
        <v>0</v>
      </c>
      <c r="B38" s="29"/>
      <c r="C38" s="30" t="str">
        <f>IFERROR(VLOOKUP($B38,#REF!,15,0),"")</f>
        <v/>
      </c>
      <c r="D38" s="86" t="str">
        <f>IFERROR(VLOOKUP($B38,#REF!,16,0),"")</f>
        <v/>
      </c>
      <c r="E38" s="31"/>
      <c r="F38" s="39" t="str">
        <f>IF(B38="","",IFERROR(VLOOKUP(B38,#REF!,17,0),IF(WEEKDAY(B38,2)&gt;=6,"WEEKEND",IFERROR(VLOOKUP(DATEVALUE(B38),#REF!,2,0),""))))</f>
        <v/>
      </c>
      <c r="G38" s="40"/>
      <c r="H38" s="40"/>
      <c r="I38" s="40"/>
      <c r="J38" s="41"/>
      <c r="K38" s="93"/>
      <c r="L38" s="42"/>
      <c r="M38" s="35"/>
      <c r="N38" s="37" t="str">
        <f>IFERROR(VLOOKUP($B38,#REF!,19,0),"")</f>
        <v/>
      </c>
      <c r="O38" s="38" t="str">
        <f>IFERROR(VLOOKUP($B38,#REF!,20,0),"")</f>
        <v/>
      </c>
      <c r="P38" s="30" t="str">
        <f t="shared" si="1"/>
        <v/>
      </c>
      <c r="Q38" s="7" t="str">
        <f>IFERROR(HOUR(C38)*60+MINUTE(C38),"")</f>
        <v/>
      </c>
      <c r="R38" s="7" t="e">
        <f>((P38-#REF!)/P38)*100</f>
        <v>#VALUE!</v>
      </c>
      <c r="S38" s="6"/>
      <c r="T38" s="5" t="str">
        <f t="shared" si="2"/>
        <v/>
      </c>
      <c r="U38" s="5" t="str">
        <f t="shared" si="3"/>
        <v/>
      </c>
      <c r="V38" s="5" t="str">
        <f t="shared" si="4"/>
        <v/>
      </c>
      <c r="W38" s="5" t="str">
        <f t="shared" si="5"/>
        <v/>
      </c>
      <c r="X38" s="5" t="str">
        <f t="shared" si="6"/>
        <v/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8"/>
    </row>
    <row r="39" spans="1:56" ht="30.75" customHeight="1" x14ac:dyDescent="0.25">
      <c r="A39">
        <f>COUNTA($C$16:C39)-COUNTBLANK($C$16:C39)</f>
        <v>0</v>
      </c>
      <c r="B39" s="29"/>
      <c r="C39" s="30" t="str">
        <f>IFERROR(VLOOKUP($B39,#REF!,15,0),"")</f>
        <v/>
      </c>
      <c r="D39" s="86" t="str">
        <f>IFERROR(VLOOKUP($B39,#REF!,16,0),"")</f>
        <v/>
      </c>
      <c r="E39" s="31"/>
      <c r="F39" s="39" t="str">
        <f>IF(B39="","",IFERROR(VLOOKUP(B39,#REF!,17,0),IF(WEEKDAY(B39,2)&gt;=6,"WEEKEND",IFERROR(VLOOKUP(DATEVALUE(B39),#REF!,2,0),""))))</f>
        <v/>
      </c>
      <c r="G39" s="40"/>
      <c r="H39" s="40"/>
      <c r="I39" s="40"/>
      <c r="J39" s="41"/>
      <c r="K39" s="93"/>
      <c r="L39" s="42"/>
      <c r="M39" s="35"/>
      <c r="N39" s="37" t="str">
        <f>IFERROR(VLOOKUP($B39,#REF!,19,0),"")</f>
        <v/>
      </c>
      <c r="O39" s="38" t="str">
        <f>IFERROR(VLOOKUP($B39,#REF!,20,0),"")</f>
        <v/>
      </c>
      <c r="P39" s="30" t="str">
        <f t="shared" si="1"/>
        <v/>
      </c>
      <c r="Q39" s="7" t="str">
        <f>IFERROR(HOUR(C39)*60+MINUTE(C39),"")</f>
        <v/>
      </c>
      <c r="R39" s="7" t="e">
        <f>((P39-#REF!)/P39)*100</f>
        <v>#VALUE!</v>
      </c>
      <c r="S39" s="6"/>
      <c r="T39" s="5" t="str">
        <f t="shared" si="2"/>
        <v/>
      </c>
      <c r="U39" s="5" t="str">
        <f t="shared" si="3"/>
        <v/>
      </c>
      <c r="V39" s="5" t="str">
        <f t="shared" si="4"/>
        <v/>
      </c>
      <c r="W39" s="5" t="str">
        <f t="shared" si="5"/>
        <v/>
      </c>
      <c r="X39" s="5" t="str">
        <f t="shared" si="6"/>
        <v/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8"/>
    </row>
    <row r="40" spans="1:56" ht="30.75" customHeight="1" x14ac:dyDescent="0.25">
      <c r="A40">
        <f>COUNTA($C$16:C40)-COUNTBLANK($C$16:C40)</f>
        <v>0</v>
      </c>
      <c r="B40" s="29"/>
      <c r="C40" s="30" t="str">
        <f>IFERROR(VLOOKUP($B40,#REF!,15,0),"")</f>
        <v/>
      </c>
      <c r="D40" s="86" t="str">
        <f>IFERROR(VLOOKUP($B40,#REF!,16,0),"")</f>
        <v/>
      </c>
      <c r="E40" s="31"/>
      <c r="F40" s="39" t="str">
        <f>IF(B40="","",IFERROR(VLOOKUP(B40,#REF!,17,0),IF(WEEKDAY(B40,2)&gt;=6,"WEEKEND",IFERROR(VLOOKUP(DATEVALUE(B40),#REF!,2,0),""))))</f>
        <v/>
      </c>
      <c r="G40" s="40"/>
      <c r="H40" s="40"/>
      <c r="I40" s="40"/>
      <c r="J40" s="41"/>
      <c r="K40" s="93"/>
      <c r="L40" s="42"/>
      <c r="M40" s="35"/>
      <c r="N40" s="37" t="str">
        <f>IFERROR(VLOOKUP($B40,#REF!,19,0),"")</f>
        <v/>
      </c>
      <c r="O40" s="38" t="str">
        <f>IFERROR(VLOOKUP($B40,#REF!,20,0),"")</f>
        <v/>
      </c>
      <c r="P40" s="30" t="str">
        <f t="shared" si="1"/>
        <v/>
      </c>
      <c r="Q40" s="7" t="str">
        <f>IFERROR(HOUR(C40)*60+MINUTE(C40),"")</f>
        <v/>
      </c>
      <c r="R40" s="7" t="e">
        <f>((P40-#REF!)/P40)*100</f>
        <v>#VALUE!</v>
      </c>
      <c r="S40" s="6"/>
      <c r="T40" s="5" t="str">
        <f t="shared" si="2"/>
        <v/>
      </c>
      <c r="U40" s="5" t="str">
        <f t="shared" si="3"/>
        <v/>
      </c>
      <c r="V40" s="5" t="str">
        <f t="shared" si="4"/>
        <v/>
      </c>
      <c r="W40" s="5" t="str">
        <f t="shared" si="5"/>
        <v/>
      </c>
      <c r="X40" s="5" t="str">
        <f t="shared" si="6"/>
        <v/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8"/>
    </row>
    <row r="41" spans="1:56" ht="30.75" customHeight="1" x14ac:dyDescent="0.25">
      <c r="A41">
        <f>COUNTA($C$16:C41)-COUNTBLANK($C$16:C41)</f>
        <v>0</v>
      </c>
      <c r="B41" s="29"/>
      <c r="C41" s="30" t="str">
        <f>IFERROR(VLOOKUP($B41,#REF!,15,0),"")</f>
        <v/>
      </c>
      <c r="D41" s="86" t="str">
        <f>IFERROR(VLOOKUP($B41,#REF!,16,0),"")</f>
        <v/>
      </c>
      <c r="E41" s="31"/>
      <c r="F41" s="39" t="str">
        <f>IF(B41="","",IFERROR(VLOOKUP(B41,#REF!,17,0),IF(WEEKDAY(B41,2)&gt;=6,"WEEKEND",IFERROR(VLOOKUP(DATEVALUE(B41),#REF!,2,0),""))))</f>
        <v/>
      </c>
      <c r="G41" s="40"/>
      <c r="H41" s="40"/>
      <c r="I41" s="40"/>
      <c r="J41" s="41"/>
      <c r="K41" s="93"/>
      <c r="L41" s="42"/>
      <c r="M41" s="35"/>
      <c r="N41" s="37" t="str">
        <f>IFERROR(VLOOKUP($B41,#REF!,19,0),"")</f>
        <v/>
      </c>
      <c r="O41" s="38" t="str">
        <f>IFERROR(VLOOKUP($B41,#REF!,20,0),"")</f>
        <v/>
      </c>
      <c r="P41" s="30" t="str">
        <f t="shared" si="1"/>
        <v/>
      </c>
      <c r="Q41" s="7" t="str">
        <f>IFERROR(HOUR(C41)*60+MINUTE(C41),"")</f>
        <v/>
      </c>
      <c r="R41" s="7" t="e">
        <f>((P41-#REF!)/P41)*100</f>
        <v>#VALUE!</v>
      </c>
      <c r="S41" s="6"/>
      <c r="T41" s="5" t="str">
        <f t="shared" si="2"/>
        <v/>
      </c>
      <c r="U41" s="5" t="str">
        <f t="shared" si="3"/>
        <v/>
      </c>
      <c r="V41" s="5" t="str">
        <f t="shared" si="4"/>
        <v/>
      </c>
      <c r="W41" s="5" t="str">
        <f t="shared" si="5"/>
        <v/>
      </c>
      <c r="X41" s="5" t="str">
        <f t="shared" si="6"/>
        <v/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8"/>
    </row>
    <row r="42" spans="1:56" ht="30.75" customHeight="1" x14ac:dyDescent="0.25">
      <c r="A42">
        <f>COUNTA($C$16:C42)-COUNTBLANK($C$16:C42)</f>
        <v>0</v>
      </c>
      <c r="B42" s="29"/>
      <c r="C42" s="30" t="str">
        <f>IFERROR(VLOOKUP($B42,#REF!,15,0),"")</f>
        <v/>
      </c>
      <c r="D42" s="86" t="str">
        <f>IFERROR(VLOOKUP($B42,#REF!,16,0),"")</f>
        <v/>
      </c>
      <c r="E42" s="31"/>
      <c r="F42" s="39" t="str">
        <f>IF(B42="","",IFERROR(VLOOKUP(B42,#REF!,17,0),IF(WEEKDAY(B42,2)&gt;=6,"WEEKEND",IFERROR(VLOOKUP(DATEVALUE(B42),#REF!,2,0),""))))</f>
        <v/>
      </c>
      <c r="G42" s="40"/>
      <c r="H42" s="40"/>
      <c r="I42" s="40"/>
      <c r="J42" s="41"/>
      <c r="K42" s="93"/>
      <c r="L42" s="42"/>
      <c r="M42" s="35"/>
      <c r="N42" s="37" t="str">
        <f>IFERROR(VLOOKUP($B42,#REF!,19,0),"")</f>
        <v/>
      </c>
      <c r="O42" s="38" t="str">
        <f>IFERROR(VLOOKUP($B42,#REF!,20,0),"")</f>
        <v/>
      </c>
      <c r="P42" s="30" t="str">
        <f t="shared" si="1"/>
        <v/>
      </c>
      <c r="Q42" s="7" t="str">
        <f>IFERROR(HOUR(C42)*60+MINUTE(C42),"")</f>
        <v/>
      </c>
      <c r="R42" s="7" t="e">
        <f>((P42-#REF!)/P42)*100</f>
        <v>#VALUE!</v>
      </c>
      <c r="S42" s="6"/>
      <c r="T42" s="5" t="str">
        <f t="shared" si="2"/>
        <v/>
      </c>
      <c r="U42" s="5" t="str">
        <f t="shared" si="3"/>
        <v/>
      </c>
      <c r="V42" s="5" t="str">
        <f t="shared" si="4"/>
        <v/>
      </c>
      <c r="W42" s="5" t="str">
        <f t="shared" si="5"/>
        <v/>
      </c>
      <c r="X42" s="5" t="str">
        <f t="shared" si="6"/>
        <v/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8"/>
    </row>
    <row r="43" spans="1:56" ht="30.75" customHeight="1" x14ac:dyDescent="0.25">
      <c r="A43">
        <f>COUNTA($C$16:C43)-COUNTBLANK($C$16:C43)</f>
        <v>0</v>
      </c>
      <c r="B43" s="29"/>
      <c r="C43" s="30" t="str">
        <f>IFERROR(VLOOKUP($B43,#REF!,15,0),"")</f>
        <v/>
      </c>
      <c r="D43" s="86" t="str">
        <f>IFERROR(VLOOKUP($B43,#REF!,16,0),"")</f>
        <v/>
      </c>
      <c r="E43" s="31"/>
      <c r="F43" s="39" t="str">
        <f>IF(B43="","",IFERROR(VLOOKUP(B43,#REF!,17,0),IF(WEEKDAY(B43,2)&gt;=6,"WEEKEND",IFERROR(VLOOKUP(DATEVALUE(B43),#REF!,2,0),""))))</f>
        <v/>
      </c>
      <c r="G43" s="40"/>
      <c r="H43" s="40"/>
      <c r="I43" s="40"/>
      <c r="J43" s="41"/>
      <c r="K43" s="93"/>
      <c r="L43" s="42"/>
      <c r="M43" s="35"/>
      <c r="N43" s="37" t="str">
        <f>IFERROR(VLOOKUP($B43,#REF!,19,0),"")</f>
        <v/>
      </c>
      <c r="O43" s="38" t="str">
        <f>IFERROR(VLOOKUP($B43,#REF!,20,0),"")</f>
        <v/>
      </c>
      <c r="P43" s="30" t="str">
        <f t="shared" si="1"/>
        <v/>
      </c>
      <c r="Q43" s="7" t="str">
        <f>IFERROR(HOUR(C43)*60+MINUTE(C43),"")</f>
        <v/>
      </c>
      <c r="R43" s="7" t="e">
        <f>((P43-#REF!)/P43)*100</f>
        <v>#VALUE!</v>
      </c>
      <c r="S43" s="6"/>
      <c r="T43" s="5" t="str">
        <f t="shared" si="2"/>
        <v/>
      </c>
      <c r="U43" s="5" t="str">
        <f t="shared" si="3"/>
        <v/>
      </c>
      <c r="V43" s="5" t="str">
        <f t="shared" si="4"/>
        <v/>
      </c>
      <c r="W43" s="5" t="str">
        <f t="shared" si="5"/>
        <v/>
      </c>
      <c r="X43" s="5" t="str">
        <f t="shared" si="6"/>
        <v/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8"/>
    </row>
    <row r="44" spans="1:56" ht="30.75" customHeight="1" x14ac:dyDescent="0.25">
      <c r="A44">
        <f>COUNTA($C$16:C44)-COUNTBLANK($C$16:C44)</f>
        <v>0</v>
      </c>
      <c r="B44" s="29"/>
      <c r="C44" s="30" t="str">
        <f>IFERROR(VLOOKUP($B44,#REF!,15,0),"")</f>
        <v/>
      </c>
      <c r="D44" s="86" t="str">
        <f>IFERROR(VLOOKUP($B44,#REF!,16,0),"")</f>
        <v/>
      </c>
      <c r="E44" s="31"/>
      <c r="F44" s="39" t="str">
        <f>IF(B44="","",IFERROR(VLOOKUP(B44,#REF!,17,0),IF(WEEKDAY(B44,2)&gt;=6,"WEEKEND",IFERROR(VLOOKUP(DATEVALUE(B44),#REF!,2,0),""))))</f>
        <v/>
      </c>
      <c r="G44" s="40"/>
      <c r="H44" s="40"/>
      <c r="I44" s="40"/>
      <c r="J44" s="41"/>
      <c r="K44" s="93"/>
      <c r="L44" s="42"/>
      <c r="M44" s="35"/>
      <c r="N44" s="37" t="str">
        <f>IFERROR(VLOOKUP($B44,#REF!,19,0),"")</f>
        <v/>
      </c>
      <c r="O44" s="38" t="str">
        <f>IFERROR(VLOOKUP($B44,#REF!,20,0),"")</f>
        <v/>
      </c>
      <c r="P44" s="30" t="str">
        <f t="shared" si="1"/>
        <v/>
      </c>
      <c r="Q44" s="7" t="str">
        <f>IFERROR(HOUR(C44)*60+MINUTE(C44),"")</f>
        <v/>
      </c>
      <c r="R44" s="7" t="e">
        <f>((P44-#REF!)/P44)*100</f>
        <v>#VALUE!</v>
      </c>
      <c r="S44" s="6"/>
      <c r="T44" s="5" t="str">
        <f t="shared" si="2"/>
        <v/>
      </c>
      <c r="U44" s="5" t="str">
        <f t="shared" si="3"/>
        <v/>
      </c>
      <c r="V44" s="5" t="str">
        <f t="shared" si="4"/>
        <v/>
      </c>
      <c r="W44" s="5" t="str">
        <f t="shared" si="5"/>
        <v/>
      </c>
      <c r="X44" s="5" t="str">
        <f t="shared" si="6"/>
        <v/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8"/>
    </row>
    <row r="45" spans="1:56" ht="30.75" customHeight="1" x14ac:dyDescent="0.25">
      <c r="A45">
        <f>COUNTA($C$16:C45)-COUNTBLANK($C$16:C45)</f>
        <v>0</v>
      </c>
      <c r="B45" s="29"/>
      <c r="C45" s="30" t="str">
        <f>IFERROR(VLOOKUP($B45,#REF!,15,0),"")</f>
        <v/>
      </c>
      <c r="D45" s="86" t="str">
        <f>IFERROR(VLOOKUP($B45,#REF!,16,0),"")</f>
        <v/>
      </c>
      <c r="E45" s="31"/>
      <c r="F45" s="39" t="str">
        <f>IF(B45="","",IFERROR(VLOOKUP(B45,#REF!,17,0),IF(WEEKDAY(B45,2)&gt;=6,"WEEKEND",IFERROR(VLOOKUP(DATEVALUE(B45),#REF!,2,0),""))))</f>
        <v/>
      </c>
      <c r="G45" s="40"/>
      <c r="H45" s="40"/>
      <c r="I45" s="40"/>
      <c r="J45" s="41"/>
      <c r="K45" s="93"/>
      <c r="L45" s="42"/>
      <c r="M45" s="35"/>
      <c r="N45" s="37" t="str">
        <f>IFERROR(VLOOKUP($B45,#REF!,19,0),"")</f>
        <v/>
      </c>
      <c r="O45" s="38" t="str">
        <f>IFERROR(VLOOKUP($B45,#REF!,20,0),"")</f>
        <v/>
      </c>
      <c r="P45" s="30" t="str">
        <f t="shared" si="1"/>
        <v/>
      </c>
      <c r="Q45" s="7" t="str">
        <f>IFERROR(HOUR(C45)*60+MINUTE(C45),"")</f>
        <v/>
      </c>
      <c r="R45" s="7" t="e">
        <f>((P45-#REF!)/P45)*100</f>
        <v>#VALUE!</v>
      </c>
      <c r="S45" s="6"/>
      <c r="T45" s="5" t="str">
        <f t="shared" si="2"/>
        <v/>
      </c>
      <c r="U45" s="6" t="str">
        <f t="shared" si="3"/>
        <v/>
      </c>
      <c r="V45" s="6" t="str">
        <f t="shared" si="4"/>
        <v/>
      </c>
      <c r="W45" s="6" t="str">
        <f t="shared" si="5"/>
        <v/>
      </c>
      <c r="X45" s="6" t="str">
        <f t="shared" si="6"/>
        <v/>
      </c>
      <c r="Y45" s="6"/>
      <c r="Z45" s="6"/>
      <c r="AA45" s="6"/>
      <c r="AB45" s="6"/>
      <c r="AC45" s="6"/>
      <c r="AD45" s="6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8"/>
    </row>
    <row r="46" spans="1:56" ht="30.75" customHeight="1" x14ac:dyDescent="0.25">
      <c r="A46">
        <f>COUNTA($C$16:C46)-COUNTBLANK($C$16:C46)</f>
        <v>0</v>
      </c>
      <c r="B46" s="29"/>
      <c r="C46" s="30" t="str">
        <f>IFERROR(VLOOKUP($B46,#REF!,15,0),"")</f>
        <v/>
      </c>
      <c r="D46" s="86" t="str">
        <f>IFERROR(VLOOKUP($B46,#REF!,16,0),"")</f>
        <v/>
      </c>
      <c r="E46" s="31"/>
      <c r="F46" s="39" t="str">
        <f>IF(B46="","",IFERROR(VLOOKUP(B46,#REF!,17,0),IF(WEEKDAY(B46,2)&gt;=6,"WEEKEND",IFERROR(VLOOKUP(DATEVALUE(B46),#REF!,2,0),""))))</f>
        <v/>
      </c>
      <c r="G46" s="40"/>
      <c r="H46" s="40"/>
      <c r="I46" s="40"/>
      <c r="J46" s="41"/>
      <c r="K46" s="93"/>
      <c r="L46" s="42"/>
      <c r="M46" s="35"/>
      <c r="N46" s="37" t="str">
        <f>IFERROR(VLOOKUP($B46,#REF!,19,0),"")</f>
        <v/>
      </c>
      <c r="O46" s="38" t="str">
        <f>IFERROR(VLOOKUP($B46,#REF!,20,0),"")</f>
        <v/>
      </c>
      <c r="P46" s="30" t="str">
        <f t="shared" si="1"/>
        <v/>
      </c>
      <c r="Q46" s="7" t="str">
        <f>IFERROR(HOUR(C46)*60+MINUTE(C46),"")</f>
        <v/>
      </c>
      <c r="R46" s="7" t="e">
        <f>((P46-#REF!)/P46)*100</f>
        <v>#VALUE!</v>
      </c>
      <c r="S46" s="6"/>
      <c r="T46" s="6" t="str">
        <f t="shared" ref="T46:T48" si="7">TRIM(SUBSTITUTE(S46,AF46,""))</f>
        <v/>
      </c>
      <c r="U46" s="6" t="str">
        <f t="shared" ref="U46:U48" si="8">TRIM(SUBSTITUTE(T46,AG46,""))</f>
        <v/>
      </c>
      <c r="V46" s="6" t="str">
        <f t="shared" ref="V46:V48" si="9">TRIM(SUBSTITUTE(U46,AH46,""))</f>
        <v/>
      </c>
      <c r="W46" s="6" t="str">
        <f t="shared" ref="W46:W48" si="10">TRIM(SUBSTITUTE(V46,AI46,""))</f>
        <v/>
      </c>
      <c r="X46" s="6" t="str">
        <f t="shared" ref="X46:X48" si="11">TRIM(SUBSTITUTE(W46,AJ46,""))</f>
        <v/>
      </c>
      <c r="Y46" s="6"/>
      <c r="Z46" s="6"/>
      <c r="AA46" s="6"/>
      <c r="AB46" s="6"/>
      <c r="AC46" s="6"/>
      <c r="AD46" s="6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8"/>
    </row>
    <row r="47" spans="1:56" ht="30.75" customHeight="1" x14ac:dyDescent="0.25">
      <c r="A47">
        <f>COUNTA($C$16:C47)-COUNTBLANK($C$16:C47)</f>
        <v>0</v>
      </c>
      <c r="B47" s="29"/>
      <c r="C47" s="30" t="str">
        <f>IFERROR(VLOOKUP($B47,#REF!,15,0),"")</f>
        <v/>
      </c>
      <c r="D47" s="86" t="str">
        <f>IFERROR(VLOOKUP($B47,#REF!,16,0),"")</f>
        <v/>
      </c>
      <c r="E47" s="31"/>
      <c r="F47" s="39" t="str">
        <f>IF(B47="","",IFERROR(VLOOKUP(B47,#REF!,17,0),IF(WEEKDAY(B47,2)&gt;=6,"WEEKEND",IFERROR(VLOOKUP(DATEVALUE(B47),#REF!,2,0),""))))</f>
        <v/>
      </c>
      <c r="G47" s="40"/>
      <c r="H47" s="40"/>
      <c r="I47" s="40"/>
      <c r="J47" s="41"/>
      <c r="K47" s="93"/>
      <c r="L47" s="42"/>
      <c r="M47" s="35"/>
      <c r="N47" s="37" t="str">
        <f>IFERROR(VLOOKUP($B47,#REF!,19,0),"")</f>
        <v/>
      </c>
      <c r="O47" s="38" t="str">
        <f>IFERROR(VLOOKUP($B47,#REF!,20,0),"")</f>
        <v/>
      </c>
      <c r="P47" s="30" t="str">
        <f t="shared" si="1"/>
        <v/>
      </c>
      <c r="Q47" s="7" t="str">
        <f>IFERROR(HOUR(C47)*60+MINUTE(C47),"")</f>
        <v/>
      </c>
      <c r="R47" s="7" t="e">
        <f>((P47-#REF!)/P47)*100</f>
        <v>#VALUE!</v>
      </c>
      <c r="S47" s="6"/>
      <c r="T47" s="6" t="str">
        <f t="shared" si="7"/>
        <v/>
      </c>
      <c r="U47" s="6" t="str">
        <f t="shared" si="8"/>
        <v/>
      </c>
      <c r="V47" s="6" t="str">
        <f t="shared" si="9"/>
        <v/>
      </c>
      <c r="W47" s="6" t="str">
        <f t="shared" si="10"/>
        <v/>
      </c>
      <c r="X47" s="6" t="str">
        <f t="shared" si="11"/>
        <v/>
      </c>
      <c r="Y47" s="6"/>
      <c r="Z47" s="6"/>
      <c r="AA47" s="6"/>
      <c r="AB47" s="6"/>
      <c r="AC47" s="6"/>
      <c r="AD47" s="6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8"/>
    </row>
    <row r="48" spans="1:56" ht="30.75" customHeight="1" x14ac:dyDescent="0.25">
      <c r="A48">
        <f>COUNTA($C$16:C48)-COUNTBLANK($C$16:C48)</f>
        <v>0</v>
      </c>
      <c r="B48" s="43"/>
      <c r="C48" s="44" t="str">
        <f>IFERROR(VLOOKUP($B48,#REF!,15,0),"")</f>
        <v/>
      </c>
      <c r="D48" s="44" t="str">
        <f>IFERROR(VLOOKUP($B48,#REF!,16,0),"")</f>
        <v/>
      </c>
      <c r="E48" s="45"/>
      <c r="F48" s="46" t="str">
        <f>IF(B48="","",IFERROR(VLOOKUP(B48,#REF!,17,0),IF(WEEKDAY(B48,2)&gt;=6,"WEEKEND",IFERROR(VLOOKUP(DATEVALUE(B48),#REF!,2,0),""))))</f>
        <v/>
      </c>
      <c r="G48" s="47"/>
      <c r="H48" s="47"/>
      <c r="I48" s="47"/>
      <c r="J48" s="48"/>
      <c r="K48" s="94"/>
      <c r="L48" s="49"/>
      <c r="M48" s="26"/>
      <c r="N48" s="50"/>
      <c r="O48" s="51"/>
      <c r="P48" s="30"/>
      <c r="Q48" s="7" t="str">
        <f>IFERROR(HOUR(C48)*60+MINUTE(C48),"")</f>
        <v/>
      </c>
      <c r="R48" s="7"/>
      <c r="S48" s="6"/>
      <c r="T48" s="6" t="str">
        <f t="shared" si="7"/>
        <v/>
      </c>
      <c r="U48" s="6" t="str">
        <f t="shared" si="8"/>
        <v/>
      </c>
      <c r="V48" s="6" t="str">
        <f t="shared" si="9"/>
        <v/>
      </c>
      <c r="W48" s="6" t="str">
        <f t="shared" si="10"/>
        <v/>
      </c>
      <c r="X48" s="6" t="str">
        <f t="shared" si="11"/>
        <v/>
      </c>
      <c r="Y48" s="6"/>
      <c r="Z48" s="6"/>
      <c r="AA48" s="6"/>
      <c r="AB48" s="6"/>
      <c r="AC48" s="6"/>
      <c r="AD48" s="6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8"/>
    </row>
    <row r="49" spans="2:56" x14ac:dyDescent="0.35">
      <c r="B49" s="62"/>
      <c r="C49" s="62"/>
      <c r="D49" s="62"/>
      <c r="E49" s="67"/>
      <c r="F49" s="62"/>
      <c r="G49" s="62"/>
      <c r="H49" s="63"/>
      <c r="I49" s="23"/>
      <c r="J49" s="23"/>
      <c r="K49" s="52" t="s">
        <v>16</v>
      </c>
      <c r="L49" s="53">
        <f>SUM($L$16:$L$48)</f>
        <v>0</v>
      </c>
      <c r="M49" s="53">
        <f>SUM($M$16:$M$48)</f>
        <v>0</v>
      </c>
      <c r="N49" s="54"/>
      <c r="O49" s="55"/>
      <c r="P49" s="55">
        <f>SUM($P16:$P48)</f>
        <v>0</v>
      </c>
      <c r="Q49" s="7"/>
      <c r="R49" s="7"/>
      <c r="BD49" s="8"/>
    </row>
    <row r="50" spans="2:56" x14ac:dyDescent="0.35">
      <c r="B50" s="62"/>
      <c r="C50" s="62"/>
      <c r="D50" s="62"/>
      <c r="E50" s="67"/>
      <c r="F50" s="62"/>
      <c r="G50" s="62" t="s">
        <v>17</v>
      </c>
      <c r="H50" s="63"/>
      <c r="I50" s="23"/>
      <c r="J50" s="23"/>
      <c r="K50" s="56" t="s">
        <v>18</v>
      </c>
      <c r="L50" s="53">
        <f>SUM($L$49:$M$49)</f>
        <v>0</v>
      </c>
      <c r="M50" s="57"/>
      <c r="N50" s="58"/>
      <c r="O50" s="59"/>
      <c r="P50" s="59"/>
      <c r="Q50" s="7"/>
      <c r="R50" s="7"/>
      <c r="BD50" s="8"/>
    </row>
    <row r="51" spans="2:56" ht="40.5" customHeight="1" x14ac:dyDescent="0.35">
      <c r="B51" s="64" t="s">
        <v>19</v>
      </c>
      <c r="C51" s="65" t="s">
        <v>20</v>
      </c>
      <c r="D51" s="64" t="s">
        <v>21</v>
      </c>
      <c r="E51" s="64" t="s">
        <v>22</v>
      </c>
      <c r="F51" s="68" t="s">
        <v>23</v>
      </c>
      <c r="G51" s="69"/>
      <c r="H51" s="81"/>
      <c r="I51" s="81"/>
      <c r="J51" s="81"/>
      <c r="L51" s="17" t="s">
        <v>40</v>
      </c>
      <c r="M51" s="16" t="s">
        <v>25</v>
      </c>
      <c r="O51" s="20" t="s">
        <v>5</v>
      </c>
      <c r="P51" s="83"/>
      <c r="Q51" s="7"/>
      <c r="R51"/>
      <c r="S51" s="5"/>
      <c r="AD51"/>
      <c r="BC51" s="8"/>
    </row>
    <row r="52" spans="2:56" x14ac:dyDescent="0.35">
      <c r="B52" s="73"/>
      <c r="C52" s="74"/>
      <c r="D52" s="76"/>
      <c r="E52" s="75"/>
      <c r="F52" s="70" t="s">
        <v>24</v>
      </c>
      <c r="G52" s="67"/>
      <c r="I52" s="66"/>
      <c r="J52" s="66"/>
      <c r="L52" s="17" t="s">
        <v>39</v>
      </c>
      <c r="M52" s="16" t="s">
        <v>25</v>
      </c>
      <c r="O52" s="9" t="s">
        <v>5</v>
      </c>
      <c r="P52" s="83"/>
      <c r="Q52" s="7"/>
      <c r="R52"/>
      <c r="S52" s="5"/>
      <c r="AD52"/>
      <c r="BC52" s="8"/>
    </row>
    <row r="53" spans="2:56" x14ac:dyDescent="0.35">
      <c r="B53" s="73"/>
      <c r="C53" s="74"/>
      <c r="D53" s="75"/>
      <c r="E53" s="75"/>
      <c r="F53" s="68" t="s">
        <v>26</v>
      </c>
      <c r="G53" s="69"/>
      <c r="I53" s="66"/>
      <c r="J53" s="66"/>
      <c r="L53" s="17" t="s">
        <v>27</v>
      </c>
      <c r="M53" s="16" t="s">
        <v>25</v>
      </c>
      <c r="O53" s="9" t="s">
        <v>5</v>
      </c>
      <c r="P53" s="84"/>
      <c r="Q53" s="7"/>
      <c r="R53"/>
      <c r="S53" s="5"/>
      <c r="AD53"/>
      <c r="BC53" s="8"/>
    </row>
    <row r="54" spans="2:56" x14ac:dyDescent="0.35">
      <c r="B54" s="73"/>
      <c r="C54" s="74"/>
      <c r="D54" s="77"/>
      <c r="E54" s="75"/>
      <c r="F54" s="68" t="s">
        <v>28</v>
      </c>
      <c r="G54" s="69"/>
      <c r="I54" s="67"/>
      <c r="J54" s="62"/>
      <c r="L54" s="17" t="s">
        <v>29</v>
      </c>
      <c r="M54" s="16" t="s">
        <v>25</v>
      </c>
      <c r="O54" s="9" t="s">
        <v>5</v>
      </c>
      <c r="P54" s="84"/>
      <c r="Q54" s="7"/>
      <c r="R54"/>
      <c r="S54" s="5"/>
      <c r="AD54"/>
      <c r="BC54" s="8"/>
    </row>
    <row r="55" spans="2:56" x14ac:dyDescent="0.35">
      <c r="B55" s="78"/>
      <c r="C55" s="79"/>
      <c r="D55" s="80"/>
      <c r="E55" s="78"/>
      <c r="F55" s="62" t="s">
        <v>30</v>
      </c>
      <c r="G55" s="71"/>
      <c r="K55" s="9"/>
      <c r="L55" s="17" t="s">
        <v>31</v>
      </c>
      <c r="M55" s="17"/>
      <c r="O55" s="9" t="s">
        <v>5</v>
      </c>
      <c r="P55" s="84"/>
      <c r="Q55" s="7"/>
      <c r="R55"/>
      <c r="S55" s="5"/>
      <c r="AD55"/>
      <c r="BC55" s="8"/>
    </row>
    <row r="56" spans="2:56" x14ac:dyDescent="0.35">
      <c r="B56" s="62"/>
      <c r="C56" s="62"/>
      <c r="D56" s="62"/>
      <c r="E56" s="67"/>
      <c r="F56" s="62"/>
      <c r="G56" s="62"/>
      <c r="I56" s="72"/>
      <c r="J56" s="72"/>
      <c r="K56" s="72"/>
      <c r="L56" s="16"/>
      <c r="M56" s="17" t="s">
        <v>32</v>
      </c>
      <c r="N56" s="17"/>
      <c r="O56" s="9" t="s">
        <v>5</v>
      </c>
      <c r="P56" s="85" t="str">
        <f>IFERROR($Q$56*$Q$57,"")</f>
        <v/>
      </c>
      <c r="Q56" s="7">
        <f>$P$49/10</f>
        <v>0</v>
      </c>
      <c r="R56" s="7"/>
      <c r="BD56" s="8"/>
    </row>
    <row r="57" spans="2:56" x14ac:dyDescent="0.35">
      <c r="B57" s="62"/>
      <c r="C57" s="62"/>
      <c r="D57" s="62"/>
      <c r="E57" s="67"/>
      <c r="F57" s="62"/>
      <c r="G57" s="62"/>
      <c r="L57" s="67" t="str">
        <f>IF($P$49&lt;&gt;0,"("&amp;$P$49&amp;"/ 10) *(","(……………../ 10) * ( ")</f>
        <v xml:space="preserve">(……………../ 10) * ( </v>
      </c>
      <c r="M57" s="18" t="s">
        <v>33</v>
      </c>
      <c r="N57" s="20" t="s">
        <v>34</v>
      </c>
      <c r="O57" s="9"/>
      <c r="P57" s="9"/>
      <c r="Q57" s="7" t="str">
        <f>IFERROR(($M$57-35),"")</f>
        <v/>
      </c>
      <c r="R57" s="7"/>
      <c r="BD57" s="8"/>
    </row>
    <row r="58" spans="2:56" x14ac:dyDescent="0.35">
      <c r="B58" s="62"/>
      <c r="C58" s="62"/>
      <c r="D58" s="62"/>
      <c r="E58" s="67"/>
      <c r="F58" s="62"/>
      <c r="G58" s="62"/>
      <c r="K58" s="62"/>
      <c r="L58" s="9"/>
      <c r="M58" s="9"/>
      <c r="N58" s="9"/>
      <c r="O58" s="9"/>
      <c r="P58" s="9"/>
      <c r="Q58" s="3"/>
      <c r="R58" s="3"/>
    </row>
    <row r="59" spans="2:56" x14ac:dyDescent="0.35">
      <c r="B59" s="62"/>
      <c r="C59" s="62"/>
      <c r="D59" s="62"/>
      <c r="E59" s="67"/>
      <c r="F59" s="62"/>
      <c r="G59" s="62"/>
      <c r="K59" s="62"/>
      <c r="L59" s="9"/>
      <c r="M59" s="9"/>
      <c r="N59" s="9" t="s">
        <v>18</v>
      </c>
      <c r="O59" s="21"/>
      <c r="P59" s="22"/>
      <c r="Q59" s="4"/>
      <c r="R59" s="4"/>
    </row>
    <row r="60" spans="2:56" ht="20.25" x14ac:dyDescent="0.3">
      <c r="B60" s="62"/>
      <c r="C60" s="62"/>
      <c r="D60" s="62"/>
      <c r="E60" s="67"/>
      <c r="F60" s="62"/>
      <c r="G60" s="62"/>
      <c r="H60" s="62"/>
      <c r="I60" s="20"/>
      <c r="J60" s="9"/>
      <c r="K60" s="9"/>
      <c r="L60" s="9"/>
      <c r="M60" s="9"/>
      <c r="N60" s="9"/>
      <c r="O60" s="9"/>
      <c r="P60" s="9"/>
      <c r="Q60" s="2"/>
      <c r="R60" s="2"/>
    </row>
    <row r="61" spans="2:56" ht="20.25" x14ac:dyDescent="0.3">
      <c r="B61" s="62"/>
      <c r="C61" s="62"/>
      <c r="D61" s="62"/>
      <c r="E61" s="67"/>
      <c r="F61" s="62"/>
      <c r="G61" s="62"/>
      <c r="H61" s="62"/>
      <c r="I61" s="20"/>
      <c r="J61" s="9"/>
      <c r="K61" s="9"/>
      <c r="L61" s="9"/>
      <c r="M61" s="9"/>
      <c r="N61" s="9"/>
      <c r="O61" s="9"/>
      <c r="P61" s="9"/>
      <c r="Q61" s="2"/>
      <c r="R61" s="2"/>
    </row>
    <row r="62" spans="2:56" ht="20.25" x14ac:dyDescent="0.3">
      <c r="B62" s="62"/>
      <c r="C62" s="62"/>
      <c r="D62" s="62"/>
      <c r="E62" s="67"/>
      <c r="F62" s="62"/>
      <c r="G62" s="62"/>
      <c r="H62" s="62"/>
      <c r="I62" s="20"/>
      <c r="J62" s="9"/>
      <c r="K62" s="9"/>
      <c r="L62" s="9"/>
      <c r="M62" s="9"/>
      <c r="N62" s="9"/>
      <c r="O62" s="9"/>
      <c r="P62" s="9"/>
      <c r="Q62" s="2"/>
      <c r="R62" s="2"/>
    </row>
    <row r="63" spans="2:56" ht="20.25" x14ac:dyDescent="0.3">
      <c r="B63" s="62"/>
      <c r="C63" s="62"/>
      <c r="D63" s="62"/>
      <c r="E63" s="67"/>
      <c r="F63" s="62"/>
      <c r="G63" s="62"/>
      <c r="H63" s="62"/>
      <c r="I63" s="20"/>
      <c r="J63" s="9"/>
      <c r="K63" s="9"/>
      <c r="L63" s="9"/>
      <c r="M63" s="9"/>
      <c r="N63" s="9"/>
      <c r="O63" s="9"/>
      <c r="P63" s="9"/>
      <c r="Q63" s="2"/>
      <c r="R63" s="2"/>
    </row>
  </sheetData>
  <mergeCells count="7">
    <mergeCell ref="N14:P14"/>
    <mergeCell ref="N15:O15"/>
    <mergeCell ref="C14:D14"/>
    <mergeCell ref="F14:J14"/>
    <mergeCell ref="E14:E15"/>
    <mergeCell ref="F15:J15"/>
    <mergeCell ref="L14:M14"/>
  </mergeCells>
  <conditionalFormatting sqref="P16:P47">
    <cfRule type="expression" dxfId="1" priority="1">
      <formula>$R16&lt;=10</formula>
    </cfRule>
    <cfRule type="expression" dxfId="0" priority="2">
      <formula>$R16&gt;10</formula>
    </cfRule>
  </conditionalFormatting>
  <pageMargins left="0.43307086614173229" right="0.23622047244094491" top="0" bottom="0" header="0" footer="0"/>
  <pageSetup paperSize="9" scale="37" orientation="landscape" r:id="rId1"/>
  <headerFooter>
    <oddFooter>&amp;C&amp;18&amp;F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Travelling Expense</vt:lpstr>
      <vt:lpstr>'Travelling Expense'!Print_Area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yanakawee janpengsuriya</dc:creator>
  <cp:lastModifiedBy>kriangkrai rattanawan</cp:lastModifiedBy>
  <cp:lastPrinted>2018-07-11T03:17:53Z</cp:lastPrinted>
  <dcterms:created xsi:type="dcterms:W3CDTF">2017-09-15T07:01:47Z</dcterms:created>
  <dcterms:modified xsi:type="dcterms:W3CDTF">2025-01-22T08:10:45Z</dcterms:modified>
</cp:coreProperties>
</file>