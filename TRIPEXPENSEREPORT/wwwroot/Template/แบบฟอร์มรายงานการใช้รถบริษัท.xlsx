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WEB\WebTripExpense\WebTripExpense\wwwroot\Template\"/>
    </mc:Choice>
  </mc:AlternateContent>
  <bookViews>
    <workbookView xWindow="0" yWindow="0" windowWidth="28800" windowHeight="12435"/>
  </bookViews>
  <sheets>
    <sheet name="template" sheetId="2" r:id="rId1"/>
  </sheets>
  <definedNames>
    <definedName name="_xlnm.Print_Area" localSheetId="0">template!$A$1:$O$54</definedName>
  </definedNames>
  <calcPr calcId="152511"/>
</workbook>
</file>

<file path=xl/calcChain.xml><?xml version="1.0" encoding="utf-8"?>
<calcChain xmlns="http://schemas.openxmlformats.org/spreadsheetml/2006/main">
  <c r="P10" i="2" l="1" a="1"/>
  <c r="P10" i="2" s="1"/>
  <c r="P11" i="2" s="1" a="1"/>
  <c r="P11" i="2" s="1"/>
  <c r="H47" i="2" s="1"/>
  <c r="L47" i="2" s="1"/>
  <c r="I47" i="2" l="1"/>
  <c r="J47" i="2"/>
  <c r="K47" i="2"/>
  <c r="H46" i="2"/>
  <c r="P12" i="2" a="1"/>
  <c r="P12" i="2" s="1"/>
  <c r="H48" i="2" s="1"/>
  <c r="M47" i="2" l="1"/>
  <c r="L48" i="2"/>
  <c r="K48" i="2"/>
  <c r="J48" i="2"/>
  <c r="I48" i="2"/>
  <c r="L46" i="2"/>
  <c r="K46" i="2"/>
  <c r="J46" i="2"/>
  <c r="I46" i="2"/>
  <c r="P13" i="2" a="1"/>
  <c r="P13" i="2" s="1"/>
  <c r="H42" i="2"/>
  <c r="M48" i="2" l="1"/>
  <c r="M46" i="2"/>
  <c r="P14" i="2" a="1"/>
  <c r="P14" i="2" s="1"/>
  <c r="H50" i="2" s="1"/>
  <c r="H49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10" i="2"/>
  <c r="M50" i="2" l="1"/>
  <c r="L50" i="2"/>
  <c r="K50" i="2"/>
  <c r="J50" i="2"/>
  <c r="I50" i="2"/>
  <c r="L49" i="2"/>
  <c r="K49" i="2"/>
  <c r="J49" i="2"/>
  <c r="I49" i="2"/>
  <c r="P15" i="2" a="1"/>
  <c r="P15" i="2" s="1"/>
  <c r="H51" i="2" s="1"/>
  <c r="K42" i="2"/>
  <c r="I42" i="2"/>
  <c r="J42" i="2"/>
  <c r="K43" i="2" l="1"/>
  <c r="M49" i="2"/>
  <c r="M51" i="2"/>
  <c r="L51" i="2"/>
  <c r="K51" i="2"/>
  <c r="J51" i="2"/>
  <c r="I51" i="2"/>
  <c r="P16" i="2" a="1"/>
  <c r="P16" i="2" s="1"/>
  <c r="N43" i="2"/>
  <c r="P17" i="2" l="1" a="1"/>
  <c r="P17" i="2" s="1"/>
  <c r="H53" i="2" s="1"/>
  <c r="H52" i="2"/>
  <c r="M52" i="2" l="1"/>
  <c r="L52" i="2"/>
  <c r="K52" i="2"/>
  <c r="J52" i="2"/>
  <c r="I52" i="2"/>
  <c r="M53" i="2"/>
  <c r="L53" i="2"/>
  <c r="K53" i="2"/>
  <c r="J53" i="2"/>
  <c r="I53" i="2"/>
  <c r="P18" i="2" a="1"/>
  <c r="P18" i="2" s="1"/>
  <c r="P19" i="2" s="1" a="1"/>
  <c r="P19" i="2" s="1"/>
</calcChain>
</file>

<file path=xl/sharedStrings.xml><?xml version="1.0" encoding="utf-8"?>
<sst xmlns="http://schemas.openxmlformats.org/spreadsheetml/2006/main" count="33" uniqueCount="30">
  <si>
    <t>Contrologic Co.,Ltd.</t>
  </si>
  <si>
    <t>รายงานการใช้รถยนต์</t>
  </si>
  <si>
    <t>ผู้เบิก</t>
  </si>
  <si>
    <t>แผนก</t>
  </si>
  <si>
    <t>Service</t>
  </si>
  <si>
    <t>DATE</t>
  </si>
  <si>
    <t>TIME</t>
  </si>
  <si>
    <t xml:space="preserve">DESTINATION / BUSINESS </t>
  </si>
  <si>
    <t>ค่าใช้จ่าย</t>
  </si>
  <si>
    <t>Milage</t>
  </si>
  <si>
    <t>Job No.</t>
  </si>
  <si>
    <t>FROM</t>
  </si>
  <si>
    <t>TO</t>
  </si>
  <si>
    <t>( FROM - TO )</t>
  </si>
  <si>
    <t>ค่าน้ำมัน</t>
  </si>
  <si>
    <t>Start-Ending</t>
  </si>
  <si>
    <t>Kms</t>
  </si>
  <si>
    <t>SUB-TOTAL</t>
  </si>
  <si>
    <t xml:space="preserve">CLAIM BY </t>
  </si>
  <si>
    <t>CHECKED BY MANAGER</t>
  </si>
  <si>
    <t>APPROVED BY GM</t>
  </si>
  <si>
    <t>ADMIN.</t>
  </si>
  <si>
    <t>TOTAL</t>
  </si>
  <si>
    <t xml:space="preserve">เลขทะเบียนรถยนต์ </t>
  </si>
  <si>
    <t>ค่าน้ำมัน CASH</t>
  </si>
  <si>
    <t>ค่าทางด่วน</t>
  </si>
  <si>
    <t>อื่นๆ</t>
  </si>
  <si>
    <t>JOB</t>
  </si>
  <si>
    <t>Cash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</si>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</sst>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;@"/>
  </numFmts>
  <fonts count="13">
    <font>
      <sz val="14"/>
      <name val="CordiaUPC"/>
      <family val="2"/>
    </font>
    <font>
      <b/>
      <sz val="18"/>
      <name val="Yokogawa"/>
    </font>
    <font>
      <sz val="16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4"/>
      <name val="Arial"/>
      <family val="2"/>
    </font>
    <font>
      <sz val="8"/>
      <name val="Arial"/>
      <family val="2"/>
    </font>
    <font>
      <sz val="8"/>
      <name val="CordiaUPC"/>
      <family val="2"/>
    </font>
    <font>
      <sz val="12"/>
      <name val="Angsana New"/>
      <family val="1"/>
    </font>
    <font>
      <sz val="7"/>
      <name val="Arial"/>
      <family val="2"/>
    </font>
    <font>
      <b/>
      <sz val="8"/>
      <name val="Arial"/>
      <family val="2"/>
    </font>
    <font>
      <sz val="12"/>
      <name val="AngsanaUPC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4" fillId="0" borderId="0" xfId="0" applyFont="1"/>
    <xf numFmtId="0" fontId="4" fillId="0" borderId="0" xfId="0" applyFont="1" applyAlignment="1"/>
    <xf numFmtId="0" fontId="4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" fontId="6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" fontId="4" fillId="0" borderId="0" xfId="0" applyNumberFormat="1" applyFont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" fontId="4" fillId="0" borderId="0" xfId="0" applyNumberFormat="1" applyFont="1" applyAlignment="1">
      <alignment vertical="center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4" fillId="0" borderId="0" xfId="0" applyFont="1" applyBorder="1"/>
    <xf numFmtId="0" fontId="0" fillId="0" borderId="0" xfId="0" applyBorder="1"/>
    <xf numFmtId="0" fontId="5" fillId="0" borderId="0" xfId="0" applyFont="1" applyBorder="1" applyAlignment="1">
      <alignment horizontal="centerContinuous"/>
    </xf>
    <xf numFmtId="0" fontId="4" fillId="0" borderId="0" xfId="0" applyFont="1" applyBorder="1" applyAlignment="1"/>
    <xf numFmtId="0" fontId="6" fillId="0" borderId="0" xfId="0" applyFont="1" applyBorder="1" applyAlignment="1">
      <alignment horizontal="centerContinuous" vertical="center"/>
    </xf>
    <xf numFmtId="0" fontId="7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6" fillId="2" borderId="0" xfId="0" applyFont="1" applyFill="1" applyBorder="1"/>
    <xf numFmtId="0" fontId="9" fillId="0" borderId="0" xfId="0" applyFont="1" applyBorder="1" applyAlignment="1">
      <alignment horizontal="centerContinuous" vertical="center" wrapText="1"/>
    </xf>
    <xf numFmtId="0" fontId="10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" fillId="0" borderId="0" xfId="0" applyFont="1" applyAlignment="1" applyProtection="1">
      <alignment horizontal="centerContinuous"/>
      <protection locked="0"/>
    </xf>
    <xf numFmtId="0" fontId="2" fillId="0" borderId="0" xfId="0" applyFont="1" applyAlignment="1" applyProtection="1">
      <alignment horizontal="centerContinuous"/>
      <protection locked="0"/>
    </xf>
    <xf numFmtId="0" fontId="3" fillId="0" borderId="0" xfId="0" applyFont="1" applyAlignment="1" applyProtection="1">
      <alignment horizontal="centerContinuous"/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centerContinuous"/>
      <protection locked="0"/>
    </xf>
    <xf numFmtId="0" fontId="4" fillId="0" borderId="0" xfId="0" applyFont="1" applyAlignme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4" xfId="0" applyFont="1" applyBorder="1" applyAlignment="1" applyProtection="1">
      <alignment horizontal="centerContinuous" vertical="center"/>
      <protection locked="0"/>
    </xf>
    <xf numFmtId="0" fontId="6" fillId="0" borderId="2" xfId="0" applyFont="1" applyBorder="1" applyAlignment="1" applyProtection="1">
      <alignment horizontal="centerContinuous" vertical="center"/>
      <protection locked="0"/>
    </xf>
    <xf numFmtId="0" fontId="6" fillId="0" borderId="5" xfId="0" applyFont="1" applyBorder="1" applyAlignment="1" applyProtection="1">
      <alignment horizontal="centerContinuous" vertical="center"/>
      <protection locked="0"/>
    </xf>
    <xf numFmtId="0" fontId="7" fillId="0" borderId="6" xfId="0" applyFont="1" applyBorder="1" applyAlignment="1" applyProtection="1">
      <alignment horizontal="centerContinuous"/>
      <protection locked="0"/>
    </xf>
    <xf numFmtId="0" fontId="6" fillId="0" borderId="7" xfId="0" applyFont="1" applyBorder="1" applyAlignment="1" applyProtection="1">
      <alignment horizontal="centerContinuous" vertical="center"/>
      <protection locked="0"/>
    </xf>
    <xf numFmtId="0" fontId="6" fillId="0" borderId="3" xfId="0" applyFont="1" applyBorder="1" applyAlignment="1" applyProtection="1">
      <alignment horizontal="centerContinuous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Continuous" vertical="center"/>
      <protection locked="0"/>
    </xf>
    <xf numFmtId="0" fontId="6" fillId="0" borderId="11" xfId="0" applyFont="1" applyBorder="1" applyAlignment="1" applyProtection="1">
      <alignment horizontal="centerContinuous" vertical="center"/>
      <protection locked="0"/>
    </xf>
    <xf numFmtId="0" fontId="6" fillId="0" borderId="9" xfId="0" applyFont="1" applyBorder="1" applyAlignment="1" applyProtection="1">
      <alignment horizontal="centerContinuous" vertical="center"/>
      <protection locked="0"/>
    </xf>
    <xf numFmtId="164" fontId="6" fillId="0" borderId="8" xfId="0" applyNumberFormat="1" applyFont="1" applyBorder="1" applyAlignment="1" applyProtection="1">
      <alignment horizontal="center" vertical="center"/>
      <protection locked="0"/>
    </xf>
    <xf numFmtId="0" fontId="8" fillId="0" borderId="9" xfId="0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6" fillId="2" borderId="25" xfId="0" applyFont="1" applyFill="1" applyBorder="1" applyProtection="1">
      <protection locked="0"/>
    </xf>
    <xf numFmtId="0" fontId="6" fillId="2" borderId="19" xfId="0" applyFont="1" applyFill="1" applyBorder="1" applyProtection="1">
      <protection locked="0"/>
    </xf>
    <xf numFmtId="0" fontId="6" fillId="0" borderId="19" xfId="0" applyFont="1" applyBorder="1" applyProtection="1">
      <protection locked="0"/>
    </xf>
    <xf numFmtId="0" fontId="9" fillId="0" borderId="26" xfId="0" applyFont="1" applyBorder="1" applyAlignment="1" applyProtection="1">
      <alignment horizontal="centerContinuous" vertical="center" wrapText="1"/>
      <protection locked="0"/>
    </xf>
    <xf numFmtId="0" fontId="9" fillId="0" borderId="2" xfId="0" applyFont="1" applyBorder="1" applyAlignment="1" applyProtection="1">
      <alignment horizontal="centerContinuous" vertical="center" wrapText="1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6" fillId="0" borderId="1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2" borderId="10" xfId="0" applyFont="1" applyFill="1" applyBorder="1" applyProtection="1">
      <protection locked="0"/>
    </xf>
    <xf numFmtId="0" fontId="6" fillId="2" borderId="9" xfId="0" applyFont="1" applyFill="1" applyBorder="1" applyProtection="1">
      <protection locked="0"/>
    </xf>
    <xf numFmtId="1" fontId="6" fillId="0" borderId="9" xfId="0" applyNumberFormat="1" applyFont="1" applyBorder="1" applyAlignment="1" applyProtection="1">
      <alignment horizontal="center"/>
      <protection locked="0"/>
    </xf>
    <xf numFmtId="0" fontId="9" fillId="0" borderId="25" xfId="0" applyFont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0" fontId="6" fillId="0" borderId="25" xfId="0" applyFont="1" applyBorder="1" applyProtection="1">
      <protection locked="0"/>
    </xf>
    <xf numFmtId="0" fontId="6" fillId="0" borderId="0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0" applyFont="1" applyBorder="1" applyProtection="1">
      <protection locked="0"/>
    </xf>
    <xf numFmtId="0" fontId="6" fillId="0" borderId="26" xfId="0" applyFont="1" applyBorder="1" applyProtection="1">
      <protection locked="0"/>
    </xf>
    <xf numFmtId="0" fontId="1" fillId="0" borderId="0" xfId="0" applyFont="1" applyBorder="1" applyAlignment="1" applyProtection="1">
      <alignment horizontal="centerContinuous"/>
      <protection locked="0"/>
    </xf>
    <xf numFmtId="0" fontId="2" fillId="0" borderId="0" xfId="0" applyFont="1" applyBorder="1" applyAlignment="1" applyProtection="1">
      <alignment horizontal="centerContinuous"/>
      <protection locked="0"/>
    </xf>
    <xf numFmtId="0" fontId="3" fillId="0" borderId="0" xfId="0" applyFont="1" applyBorder="1" applyAlignment="1" applyProtection="1">
      <alignment horizontal="centerContinuous"/>
      <protection locked="0"/>
    </xf>
    <xf numFmtId="0" fontId="4" fillId="0" borderId="0" xfId="0" applyFont="1" applyBorder="1" applyAlignment="1" applyProtection="1">
      <alignment horizontal="centerContinuous"/>
      <protection locked="0"/>
    </xf>
    <xf numFmtId="0" fontId="4" fillId="0" borderId="0" xfId="0" applyFont="1" applyBorder="1" applyProtection="1">
      <protection locked="0"/>
    </xf>
    <xf numFmtId="0" fontId="6" fillId="0" borderId="0" xfId="0" applyFont="1" applyBorder="1" applyAlignment="1">
      <alignment horizontal="center" vertical="center"/>
    </xf>
    <xf numFmtId="164" fontId="6" fillId="0" borderId="11" xfId="0" applyNumberFormat="1" applyFont="1" applyBorder="1" applyAlignment="1" applyProtection="1">
      <alignment horizontal="center" vertical="center"/>
      <protection locked="0"/>
    </xf>
    <xf numFmtId="0" fontId="4" fillId="0" borderId="2" xfId="0" applyFont="1" applyBorder="1"/>
    <xf numFmtId="165" fontId="11" fillId="0" borderId="12" xfId="0" applyNumberFormat="1" applyFont="1" applyBorder="1" applyAlignment="1" applyProtection="1">
      <alignment horizontal="center" vertical="center"/>
      <protection locked="0"/>
    </xf>
    <xf numFmtId="2" fontId="11" fillId="0" borderId="13" xfId="0" applyNumberFormat="1" applyFont="1" applyBorder="1" applyAlignment="1" applyProtection="1">
      <alignment horizontal="center" vertical="center"/>
      <protection locked="0"/>
    </xf>
    <xf numFmtId="0" fontId="11" fillId="0" borderId="27" xfId="0" applyFont="1" applyBorder="1" applyAlignment="1" applyProtection="1">
      <alignment horizontal="left" vertical="center"/>
      <protection locked="0"/>
    </xf>
    <xf numFmtId="0" fontId="11" fillId="0" borderId="28" xfId="0" applyFont="1" applyBorder="1" applyAlignment="1" applyProtection="1">
      <alignment horizontal="left" vertical="center"/>
      <protection locked="0"/>
    </xf>
    <xf numFmtId="0" fontId="11" fillId="0" borderId="29" xfId="0" applyFont="1" applyBorder="1" applyAlignment="1" applyProtection="1">
      <alignment horizontal="left" vertical="center"/>
      <protection locked="0"/>
    </xf>
    <xf numFmtId="1" fontId="11" fillId="0" borderId="16" xfId="0" applyNumberFormat="1" applyFont="1" applyBorder="1" applyAlignment="1" applyProtection="1">
      <alignment horizontal="center" vertical="center"/>
      <protection locked="0"/>
    </xf>
    <xf numFmtId="1" fontId="11" fillId="0" borderId="13" xfId="0" applyNumberFormat="1" applyFont="1" applyBorder="1" applyAlignment="1" applyProtection="1">
      <alignment horizontal="center" vertical="center"/>
      <protection locked="0"/>
    </xf>
    <xf numFmtId="0" fontId="11" fillId="0" borderId="17" xfId="0" applyFont="1" applyFill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left" vertical="center"/>
      <protection locked="0"/>
    </xf>
    <xf numFmtId="0" fontId="11" fillId="0" borderId="30" xfId="0" applyFont="1" applyBorder="1" applyAlignment="1" applyProtection="1">
      <alignment horizontal="left" vertical="center"/>
      <protection locked="0"/>
    </xf>
    <xf numFmtId="0" fontId="11" fillId="0" borderId="31" xfId="0" applyFont="1" applyBorder="1" applyAlignment="1" applyProtection="1">
      <alignment horizontal="left" vertical="center"/>
      <protection locked="0"/>
    </xf>
    <xf numFmtId="2" fontId="11" fillId="0" borderId="14" xfId="0" applyNumberFormat="1" applyFont="1" applyBorder="1" applyAlignment="1" applyProtection="1">
      <alignment horizontal="center" vertical="center"/>
      <protection locked="0"/>
    </xf>
    <xf numFmtId="2" fontId="11" fillId="0" borderId="15" xfId="0" applyNumberFormat="1" applyFont="1" applyBorder="1" applyAlignment="1" applyProtection="1">
      <alignment horizontal="center" vertical="center"/>
      <protection locked="0"/>
    </xf>
    <xf numFmtId="165" fontId="11" fillId="0" borderId="8" xfId="0" applyNumberFormat="1" applyFont="1" applyBorder="1" applyAlignment="1" applyProtection="1">
      <alignment horizontal="center" vertical="center"/>
      <protection locked="0"/>
    </xf>
    <xf numFmtId="2" fontId="11" fillId="0" borderId="9" xfId="0" applyNumberFormat="1" applyFont="1" applyBorder="1" applyAlignment="1" applyProtection="1">
      <alignment horizontal="center" vertical="center"/>
      <protection locked="0"/>
    </xf>
    <xf numFmtId="0" fontId="11" fillId="0" borderId="23" xfId="0" applyFont="1" applyBorder="1" applyAlignment="1" applyProtection="1">
      <alignment horizontal="left" vertical="center"/>
      <protection locked="0"/>
    </xf>
    <xf numFmtId="0" fontId="11" fillId="0" borderId="32" xfId="0" applyFont="1" applyBorder="1" applyAlignment="1" applyProtection="1">
      <alignment horizontal="left" vertical="center"/>
      <protection locked="0"/>
    </xf>
    <xf numFmtId="0" fontId="11" fillId="0" borderId="24" xfId="0" applyFont="1" applyBorder="1" applyAlignment="1" applyProtection="1">
      <alignment horizontal="left" vertical="center"/>
      <protection locked="0"/>
    </xf>
    <xf numFmtId="1" fontId="11" fillId="0" borderId="23" xfId="0" applyNumberFormat="1" applyFont="1" applyBorder="1" applyAlignment="1" applyProtection="1">
      <alignment horizontal="center" vertical="center"/>
      <protection locked="0"/>
    </xf>
    <xf numFmtId="1" fontId="11" fillId="0" borderId="24" xfId="0" applyNumberFormat="1" applyFont="1" applyBorder="1" applyAlignment="1" applyProtection="1">
      <alignment horizontal="center" vertical="center"/>
      <protection locked="0"/>
    </xf>
    <xf numFmtId="0" fontId="11" fillId="0" borderId="20" xfId="0" applyFont="1" applyFill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2" fillId="3" borderId="38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 applyProtection="1">
      <alignment horizontal="center" vertical="center"/>
      <protection locked="0"/>
    </xf>
    <xf numFmtId="0" fontId="12" fillId="3" borderId="40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2" fontId="11" fillId="0" borderId="14" xfId="0" applyNumberFormat="1" applyFont="1" applyBorder="1" applyAlignment="1" applyProtection="1">
      <alignment horizontal="center" vertical="center"/>
      <protection locked="0"/>
    </xf>
    <xf numFmtId="2" fontId="11" fillId="0" borderId="15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2" fontId="11" fillId="0" borderId="21" xfId="0" applyNumberFormat="1" applyFont="1" applyBorder="1" applyAlignment="1" applyProtection="1">
      <alignment horizontal="center" vertical="center"/>
      <protection locked="0"/>
    </xf>
    <xf numFmtId="2" fontId="11" fillId="0" borderId="22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11" fillId="0" borderId="12" xfId="0" applyNumberFormat="1" applyFont="1" applyBorder="1" applyAlignment="1" applyProtection="1">
      <alignment horizontal="center" vertical="center"/>
      <protection locked="0"/>
    </xf>
    <xf numFmtId="1" fontId="11" fillId="0" borderId="8" xfId="0" applyNumberFormat="1" applyFont="1" applyBorder="1" applyAlignment="1" applyProtection="1">
      <alignment horizontal="center" vertical="center"/>
      <protection locked="0"/>
    </xf>
    <xf numFmtId="1" fontId="6" fillId="0" borderId="8" xfId="0" applyNumberFormat="1" applyFont="1" applyBorder="1" applyProtection="1">
      <protection locked="0"/>
    </xf>
    <xf numFmtId="0" fontId="4" fillId="0" borderId="33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34" xfId="0" applyFont="1" applyBorder="1" applyAlignment="1" applyProtection="1">
      <alignment horizontal="center" vertical="center"/>
    </xf>
    <xf numFmtId="0" fontId="4" fillId="0" borderId="35" xfId="0" applyFont="1" applyBorder="1" applyAlignment="1" applyProtection="1">
      <alignment horizontal="center" vertical="center"/>
    </xf>
    <xf numFmtId="0" fontId="4" fillId="0" borderId="36" xfId="0" applyFont="1" applyBorder="1" applyAlignment="1" applyProtection="1">
      <alignment horizontal="center" vertical="center"/>
    </xf>
    <xf numFmtId="0" fontId="4" fillId="0" borderId="37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tabSelected="1" view="pageBreakPreview" zoomScaleSheetLayoutView="100" workbookViewId="0"/>
  </sheetViews>
  <sheetFormatPr defaultColWidth="8.85546875" defaultRowHeight="12.75"/>
  <cols>
    <col min="1" max="2" width="8.7109375" style="1" customWidth="1"/>
    <col min="3" max="4" width="4.7109375" style="1" customWidth="1"/>
    <col min="5" max="5" width="17.85546875" style="1" customWidth="1"/>
    <col min="6" max="6" width="10.7109375" style="1" customWidth="1"/>
    <col min="7" max="7" width="12.5703125" style="1" customWidth="1"/>
    <col min="8" max="8" width="9.7109375" style="1" customWidth="1"/>
    <col min="9" max="9" width="12" style="1" customWidth="1"/>
    <col min="10" max="11" width="8.7109375" style="1" customWidth="1"/>
    <col min="12" max="13" width="10" style="1" customWidth="1"/>
    <col min="14" max="14" width="7.7109375" style="1" customWidth="1"/>
    <col min="15" max="15" width="18.85546875" style="1" customWidth="1"/>
    <col min="16" max="16384" width="8.85546875" style="1"/>
  </cols>
  <sheetData>
    <row r="1" spans="1:19" ht="23.25">
      <c r="A1" s="30" t="s">
        <v>0</v>
      </c>
      <c r="B1" s="31"/>
      <c r="C1" s="31"/>
      <c r="D1" s="31"/>
      <c r="E1" s="32"/>
      <c r="F1" s="31"/>
      <c r="G1" s="31"/>
      <c r="H1" s="31"/>
      <c r="I1" s="31"/>
      <c r="J1" s="31"/>
      <c r="K1" s="31"/>
      <c r="L1" s="31"/>
      <c r="M1" s="31"/>
      <c r="N1" s="33"/>
      <c r="O1" s="34"/>
    </row>
    <row r="2" spans="1:19" ht="6.7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/>
      <c r="Q2"/>
      <c r="R2"/>
      <c r="S2"/>
    </row>
    <row r="3" spans="1:19" s="2" customFormat="1" ht="18">
      <c r="A3" s="36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 t="s">
        <v>23</v>
      </c>
      <c r="N3" s="33"/>
      <c r="O3" s="37"/>
    </row>
    <row r="4" spans="1:19" s="2" customFormat="1" ht="6" customHeight="1">
      <c r="A4" s="36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7"/>
    </row>
    <row r="5" spans="1:19" s="2" customFormat="1" ht="18" customHeight="1">
      <c r="A5" s="38" t="s">
        <v>2</v>
      </c>
      <c r="B5" s="39"/>
      <c r="C5" s="39"/>
      <c r="D5" s="39"/>
      <c r="E5" s="39"/>
      <c r="F5" s="39"/>
      <c r="G5" s="40"/>
      <c r="H5" s="33"/>
      <c r="I5" s="33"/>
      <c r="J5" s="38" t="s">
        <v>3</v>
      </c>
      <c r="K5" s="39"/>
      <c r="L5" s="39" t="s">
        <v>4</v>
      </c>
      <c r="M5" s="39"/>
      <c r="N5" s="40"/>
      <c r="O5" s="37"/>
    </row>
    <row r="6" spans="1:19" s="3" customFormat="1" ht="6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9" s="3" customFormat="1" ht="8.1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1"/>
    </row>
    <row r="8" spans="1:19" s="3" customFormat="1" ht="17.100000000000001" customHeight="1">
      <c r="A8" s="43" t="s">
        <v>5</v>
      </c>
      <c r="B8" s="44" t="s">
        <v>6</v>
      </c>
      <c r="C8" s="44"/>
      <c r="D8" s="44"/>
      <c r="E8" s="45" t="s">
        <v>7</v>
      </c>
      <c r="F8" s="46"/>
      <c r="G8" s="47"/>
      <c r="H8" s="44" t="s">
        <v>8</v>
      </c>
      <c r="I8" s="44"/>
      <c r="J8" s="48"/>
      <c r="K8" s="44"/>
      <c r="L8" s="117" t="s">
        <v>9</v>
      </c>
      <c r="M8" s="118"/>
      <c r="N8" s="119"/>
      <c r="O8" s="49" t="s">
        <v>10</v>
      </c>
    </row>
    <row r="9" spans="1:19" s="3" customFormat="1" ht="17.100000000000001" customHeight="1">
      <c r="A9" s="50"/>
      <c r="B9" s="51" t="s">
        <v>11</v>
      </c>
      <c r="C9" s="52" t="s">
        <v>12</v>
      </c>
      <c r="D9" s="52"/>
      <c r="E9" s="53" t="s">
        <v>13</v>
      </c>
      <c r="F9" s="52"/>
      <c r="G9" s="54"/>
      <c r="H9" s="50" t="s">
        <v>14</v>
      </c>
      <c r="I9" s="50" t="s">
        <v>24</v>
      </c>
      <c r="J9" s="55" t="s">
        <v>25</v>
      </c>
      <c r="K9" s="83" t="s">
        <v>26</v>
      </c>
      <c r="L9" s="120" t="s">
        <v>15</v>
      </c>
      <c r="M9" s="121"/>
      <c r="N9" s="51" t="s">
        <v>16</v>
      </c>
      <c r="O9" s="56"/>
    </row>
    <row r="10" spans="1:19" s="3" customFormat="1" ht="18.95" customHeight="1">
      <c r="A10" s="85"/>
      <c r="B10" s="86"/>
      <c r="C10" s="115"/>
      <c r="D10" s="116"/>
      <c r="E10" s="87"/>
      <c r="F10" s="88"/>
      <c r="G10" s="89"/>
      <c r="H10" s="126"/>
      <c r="I10" s="126"/>
      <c r="J10" s="126"/>
      <c r="K10" s="126"/>
      <c r="L10" s="90"/>
      <c r="M10" s="91"/>
      <c r="N10" s="91" t="str">
        <f>IF(L10 &lt;&gt; "",M10-L10,"")</f>
        <v/>
      </c>
      <c r="O10" s="92"/>
      <c r="P10" s="125">
        <f t="array" ref="P10">IFERROR(INDEX($O$10:$O$41,MATCH(0,COUNTIF($P$9:P9,$O$10:$O$41),0)),"")</f>
        <v>0</v>
      </c>
      <c r="Q10" s="4"/>
      <c r="R10" s="4"/>
      <c r="S10" s="5"/>
    </row>
    <row r="11" spans="1:19" s="3" customFormat="1" ht="18.95" customHeight="1">
      <c r="A11" s="85"/>
      <c r="B11" s="86"/>
      <c r="C11" s="115"/>
      <c r="D11" s="116"/>
      <c r="E11" s="93"/>
      <c r="F11" s="94"/>
      <c r="G11" s="95"/>
      <c r="H11" s="126"/>
      <c r="I11" s="126"/>
      <c r="J11" s="126"/>
      <c r="K11" s="126"/>
      <c r="L11" s="90"/>
      <c r="M11" s="91"/>
      <c r="N11" s="91" t="str">
        <f t="shared" ref="N11:N41" si="0">IF(L11 &lt;&gt; "",M11-L11,"")</f>
        <v/>
      </c>
      <c r="O11" s="92"/>
      <c r="P11" s="125" t="str">
        <f t="array" ref="P11">IFERROR(INDEX($O$10:$O$41,MATCH(0,COUNTIF($P$9:P10,$O$10:$O$41),0)),"")</f>
        <v/>
      </c>
      <c r="Q11" s="6"/>
      <c r="R11" s="4"/>
      <c r="S11" s="5"/>
    </row>
    <row r="12" spans="1:19" s="3" customFormat="1" ht="18.95" customHeight="1">
      <c r="A12" s="85"/>
      <c r="B12" s="86"/>
      <c r="C12" s="115"/>
      <c r="D12" s="116"/>
      <c r="E12" s="93"/>
      <c r="F12" s="94"/>
      <c r="G12" s="95"/>
      <c r="H12" s="126"/>
      <c r="I12" s="126"/>
      <c r="J12" s="126"/>
      <c r="K12" s="126"/>
      <c r="L12" s="90"/>
      <c r="M12" s="91"/>
      <c r="N12" s="91" t="str">
        <f t="shared" si="0"/>
        <v/>
      </c>
      <c r="O12" s="92"/>
      <c r="P12" s="125" t="str">
        <f t="array" ref="P12">IFERROR(INDEX($O$10:$O$41,MATCH(0,COUNTIF($P$9:P11,$O$10:$O$41),0)),"")</f>
        <v/>
      </c>
      <c r="Q12" s="5"/>
      <c r="R12" s="4"/>
      <c r="S12" s="5"/>
    </row>
    <row r="13" spans="1:19" s="3" customFormat="1" ht="18.95" customHeight="1">
      <c r="A13" s="85"/>
      <c r="B13" s="86"/>
      <c r="C13" s="115"/>
      <c r="D13" s="116"/>
      <c r="E13" s="93"/>
      <c r="F13" s="94"/>
      <c r="G13" s="95"/>
      <c r="H13" s="126"/>
      <c r="I13" s="126"/>
      <c r="J13" s="126"/>
      <c r="K13" s="126"/>
      <c r="L13" s="90"/>
      <c r="M13" s="91"/>
      <c r="N13" s="91" t="str">
        <f t="shared" si="0"/>
        <v/>
      </c>
      <c r="O13" s="92"/>
      <c r="P13" s="125" t="str">
        <f t="array" ref="P13">IFERROR(INDEX($O$10:$O$41,MATCH(0,COUNTIF($P$9:P12,$O$10:$O$41),0)),"")</f>
        <v/>
      </c>
      <c r="Q13" s="5"/>
      <c r="R13" s="7"/>
      <c r="S13" s="8"/>
    </row>
    <row r="14" spans="1:19" s="3" customFormat="1" ht="18.95" customHeight="1">
      <c r="A14" s="85"/>
      <c r="B14" s="86"/>
      <c r="C14" s="115"/>
      <c r="D14" s="116"/>
      <c r="E14" s="93"/>
      <c r="F14" s="94"/>
      <c r="G14" s="95"/>
      <c r="H14" s="126"/>
      <c r="I14" s="126"/>
      <c r="J14" s="126"/>
      <c r="K14" s="126"/>
      <c r="L14" s="90"/>
      <c r="M14" s="91"/>
      <c r="N14" s="91" t="str">
        <f t="shared" si="0"/>
        <v/>
      </c>
      <c r="O14" s="92"/>
      <c r="P14" s="125" t="str">
        <f t="array" ref="P14">IFERROR(INDEX($O$10:$O$41,MATCH(0,COUNTIF($P$9:P13,$O$10:$O$41),0)),"")</f>
        <v/>
      </c>
      <c r="Q14" s="5"/>
      <c r="R14" s="4"/>
      <c r="S14" s="5"/>
    </row>
    <row r="15" spans="1:19" s="3" customFormat="1" ht="18.95" customHeight="1">
      <c r="A15" s="85"/>
      <c r="B15" s="86"/>
      <c r="C15" s="115"/>
      <c r="D15" s="116"/>
      <c r="E15" s="93"/>
      <c r="F15" s="94"/>
      <c r="G15" s="95"/>
      <c r="H15" s="126"/>
      <c r="I15" s="126"/>
      <c r="J15" s="126"/>
      <c r="K15" s="126"/>
      <c r="L15" s="90"/>
      <c r="M15" s="91"/>
      <c r="N15" s="91" t="str">
        <f t="shared" si="0"/>
        <v/>
      </c>
      <c r="O15" s="92"/>
      <c r="P15" s="125" t="str">
        <f t="array" ref="P15">IFERROR(INDEX($O$10:$O$41,MATCH(0,COUNTIF($P$9:P14,$O$10:$O$41),0)),"")</f>
        <v/>
      </c>
      <c r="Q15" s="5"/>
      <c r="R15" s="4"/>
      <c r="S15" s="5"/>
    </row>
    <row r="16" spans="1:19" s="3" customFormat="1" ht="18.95" customHeight="1">
      <c r="A16" s="85"/>
      <c r="B16" s="86"/>
      <c r="C16" s="96"/>
      <c r="D16" s="97"/>
      <c r="E16" s="93"/>
      <c r="F16" s="94"/>
      <c r="G16" s="95"/>
      <c r="H16" s="126"/>
      <c r="I16" s="126"/>
      <c r="J16" s="126"/>
      <c r="K16" s="126"/>
      <c r="L16" s="90"/>
      <c r="M16" s="91"/>
      <c r="N16" s="91" t="str">
        <f t="shared" si="0"/>
        <v/>
      </c>
      <c r="O16" s="92"/>
      <c r="P16" s="125" t="str">
        <f t="array" ref="P16">IFERROR(INDEX($O$10:$O$41,MATCH(0,COUNTIF($P$9:P15,$O$10:$O$41),0)),"")</f>
        <v/>
      </c>
      <c r="Q16" s="5"/>
      <c r="R16" s="4"/>
      <c r="S16" s="5"/>
    </row>
    <row r="17" spans="1:19" s="3" customFormat="1" ht="18.95" customHeight="1">
      <c r="A17" s="85"/>
      <c r="B17" s="86"/>
      <c r="C17" s="96"/>
      <c r="D17" s="97"/>
      <c r="E17" s="93"/>
      <c r="F17" s="94"/>
      <c r="G17" s="95"/>
      <c r="H17" s="126"/>
      <c r="I17" s="126"/>
      <c r="J17" s="126"/>
      <c r="K17" s="126"/>
      <c r="L17" s="90"/>
      <c r="M17" s="91"/>
      <c r="N17" s="91" t="str">
        <f t="shared" si="0"/>
        <v/>
      </c>
      <c r="O17" s="92"/>
      <c r="P17" s="125" t="str">
        <f t="array" ref="P17">IFERROR(INDEX($O$10:$O$41,MATCH(0,COUNTIF($P$9:P16,$O$10:$O$41),0)),"")</f>
        <v/>
      </c>
      <c r="Q17" s="5"/>
      <c r="R17" s="4"/>
      <c r="S17" s="5"/>
    </row>
    <row r="18" spans="1:19" s="3" customFormat="1" ht="18.95" customHeight="1">
      <c r="A18" s="85"/>
      <c r="B18" s="86"/>
      <c r="C18" s="115"/>
      <c r="D18" s="116"/>
      <c r="E18" s="93"/>
      <c r="F18" s="94"/>
      <c r="G18" s="95"/>
      <c r="H18" s="126"/>
      <c r="I18" s="126"/>
      <c r="J18" s="126"/>
      <c r="K18" s="126"/>
      <c r="L18" s="90"/>
      <c r="M18" s="91"/>
      <c r="N18" s="91" t="str">
        <f t="shared" si="0"/>
        <v/>
      </c>
      <c r="O18" s="92"/>
      <c r="P18" s="125" t="str">
        <f t="array" ref="P18">IFERROR(INDEX($O$10:$O$41,MATCH(0,COUNTIF($P$9:P17,$O$10:$O$41),0)),"")</f>
        <v/>
      </c>
      <c r="Q18" s="5"/>
      <c r="R18" s="4"/>
      <c r="S18" s="5"/>
    </row>
    <row r="19" spans="1:19" s="3" customFormat="1" ht="18.95" customHeight="1">
      <c r="A19" s="85"/>
      <c r="B19" s="86"/>
      <c r="C19" s="96"/>
      <c r="D19" s="97"/>
      <c r="E19" s="93"/>
      <c r="F19" s="94"/>
      <c r="G19" s="95"/>
      <c r="H19" s="126"/>
      <c r="I19" s="126"/>
      <c r="J19" s="126"/>
      <c r="K19" s="126"/>
      <c r="L19" s="90"/>
      <c r="M19" s="91"/>
      <c r="N19" s="91" t="str">
        <f t="shared" si="0"/>
        <v/>
      </c>
      <c r="O19" s="92"/>
      <c r="P19" s="125" t="str">
        <f t="array" ref="P19">IFERROR(INDEX($O$10:$O$41,MATCH(0,COUNTIF($P$9:P18,$O$10:$O$41),0)),"")</f>
        <v/>
      </c>
      <c r="Q19" s="5"/>
      <c r="R19" s="4"/>
      <c r="S19" s="5"/>
    </row>
    <row r="20" spans="1:19" s="3" customFormat="1" ht="18.95" customHeight="1">
      <c r="A20" s="85"/>
      <c r="B20" s="86"/>
      <c r="C20" s="96"/>
      <c r="D20" s="97"/>
      <c r="E20" s="93"/>
      <c r="F20" s="94"/>
      <c r="G20" s="95"/>
      <c r="H20" s="126"/>
      <c r="I20" s="126"/>
      <c r="J20" s="126"/>
      <c r="K20" s="126"/>
      <c r="L20" s="90"/>
      <c r="M20" s="91"/>
      <c r="N20" s="91" t="str">
        <f t="shared" si="0"/>
        <v/>
      </c>
      <c r="O20" s="92"/>
      <c r="P20" s="125"/>
      <c r="Q20" s="5"/>
      <c r="R20" s="4"/>
      <c r="S20" s="5"/>
    </row>
    <row r="21" spans="1:19" s="3" customFormat="1" ht="18.95" customHeight="1">
      <c r="A21" s="85"/>
      <c r="B21" s="86"/>
      <c r="C21" s="96"/>
      <c r="D21" s="97"/>
      <c r="E21" s="93"/>
      <c r="F21" s="94"/>
      <c r="G21" s="95"/>
      <c r="H21" s="126"/>
      <c r="I21" s="126"/>
      <c r="J21" s="126"/>
      <c r="K21" s="126"/>
      <c r="L21" s="90"/>
      <c r="M21" s="91"/>
      <c r="N21" s="91" t="str">
        <f t="shared" si="0"/>
        <v/>
      </c>
      <c r="O21" s="92"/>
      <c r="Q21" s="5"/>
      <c r="R21" s="4"/>
      <c r="S21" s="5"/>
    </row>
    <row r="22" spans="1:19" s="3" customFormat="1" ht="18.95" customHeight="1">
      <c r="A22" s="85"/>
      <c r="B22" s="86"/>
      <c r="C22" s="96"/>
      <c r="D22" s="97"/>
      <c r="E22" s="93"/>
      <c r="F22" s="94"/>
      <c r="G22" s="95"/>
      <c r="H22" s="126"/>
      <c r="I22" s="126"/>
      <c r="J22" s="126"/>
      <c r="K22" s="126"/>
      <c r="L22" s="90"/>
      <c r="M22" s="91"/>
      <c r="N22" s="91" t="str">
        <f t="shared" si="0"/>
        <v/>
      </c>
      <c r="O22" s="92"/>
      <c r="Q22" s="5"/>
      <c r="R22" s="4"/>
      <c r="S22" s="5"/>
    </row>
    <row r="23" spans="1:19" s="3" customFormat="1" ht="18.95" customHeight="1">
      <c r="A23" s="85"/>
      <c r="B23" s="86"/>
      <c r="C23" s="96"/>
      <c r="D23" s="97"/>
      <c r="E23" s="93"/>
      <c r="F23" s="94"/>
      <c r="G23" s="95"/>
      <c r="H23" s="126"/>
      <c r="I23" s="126"/>
      <c r="J23" s="126"/>
      <c r="K23" s="126"/>
      <c r="L23" s="90"/>
      <c r="M23" s="91"/>
      <c r="N23" s="91" t="str">
        <f t="shared" si="0"/>
        <v/>
      </c>
      <c r="O23" s="92"/>
      <c r="Q23" s="5"/>
      <c r="R23" s="4"/>
      <c r="S23" s="5"/>
    </row>
    <row r="24" spans="1:19" s="3" customFormat="1" ht="18.95" customHeight="1">
      <c r="A24" s="85"/>
      <c r="B24" s="86"/>
      <c r="C24" s="96"/>
      <c r="D24" s="97"/>
      <c r="E24" s="93"/>
      <c r="F24" s="94"/>
      <c r="G24" s="95"/>
      <c r="H24" s="126"/>
      <c r="I24" s="126"/>
      <c r="J24" s="126"/>
      <c r="K24" s="126"/>
      <c r="L24" s="90"/>
      <c r="M24" s="91"/>
      <c r="N24" s="91" t="str">
        <f t="shared" si="0"/>
        <v/>
      </c>
      <c r="O24" s="92"/>
      <c r="Q24" s="5"/>
      <c r="R24" s="4"/>
      <c r="S24" s="5"/>
    </row>
    <row r="25" spans="1:19" s="9" customFormat="1" ht="18.95" customHeight="1">
      <c r="A25" s="85"/>
      <c r="B25" s="86"/>
      <c r="C25" s="115"/>
      <c r="D25" s="116"/>
      <c r="E25" s="93"/>
      <c r="F25" s="94"/>
      <c r="G25" s="95"/>
      <c r="H25" s="126"/>
      <c r="I25" s="126"/>
      <c r="J25" s="126"/>
      <c r="K25" s="126"/>
      <c r="L25" s="90"/>
      <c r="M25" s="91"/>
      <c r="N25" s="91" t="str">
        <f t="shared" si="0"/>
        <v/>
      </c>
      <c r="O25" s="92"/>
      <c r="Q25" s="10"/>
      <c r="R25" s="11"/>
      <c r="S25" s="10"/>
    </row>
    <row r="26" spans="1:19" s="3" customFormat="1" ht="18.95" customHeight="1">
      <c r="A26" s="85"/>
      <c r="B26" s="86"/>
      <c r="C26" s="115"/>
      <c r="D26" s="116"/>
      <c r="E26" s="93"/>
      <c r="F26" s="94"/>
      <c r="G26" s="95"/>
      <c r="H26" s="126"/>
      <c r="I26" s="126"/>
      <c r="J26" s="126"/>
      <c r="K26" s="126"/>
      <c r="L26" s="90"/>
      <c r="M26" s="91"/>
      <c r="N26" s="91" t="str">
        <f t="shared" si="0"/>
        <v/>
      </c>
      <c r="O26" s="92"/>
      <c r="Q26" s="5"/>
      <c r="R26" s="4"/>
      <c r="S26" s="5"/>
    </row>
    <row r="27" spans="1:19" s="3" customFormat="1" ht="18.95" customHeight="1">
      <c r="A27" s="85"/>
      <c r="B27" s="86"/>
      <c r="C27" s="115"/>
      <c r="D27" s="116"/>
      <c r="E27" s="93"/>
      <c r="F27" s="94"/>
      <c r="G27" s="95"/>
      <c r="H27" s="126"/>
      <c r="I27" s="126"/>
      <c r="J27" s="126"/>
      <c r="K27" s="126"/>
      <c r="L27" s="90"/>
      <c r="M27" s="91"/>
      <c r="N27" s="91" t="str">
        <f t="shared" si="0"/>
        <v/>
      </c>
      <c r="O27" s="92"/>
      <c r="Q27" s="5"/>
      <c r="R27" s="4"/>
      <c r="S27" s="5"/>
    </row>
    <row r="28" spans="1:19" s="3" customFormat="1" ht="18.95" customHeight="1">
      <c r="A28" s="85"/>
      <c r="B28" s="86"/>
      <c r="C28" s="115"/>
      <c r="D28" s="116"/>
      <c r="E28" s="93"/>
      <c r="F28" s="94"/>
      <c r="G28" s="95"/>
      <c r="H28" s="126"/>
      <c r="I28" s="126"/>
      <c r="J28" s="126"/>
      <c r="K28" s="126"/>
      <c r="L28" s="90"/>
      <c r="M28" s="91"/>
      <c r="N28" s="91" t="str">
        <f t="shared" si="0"/>
        <v/>
      </c>
      <c r="O28" s="92"/>
      <c r="Q28" s="5"/>
      <c r="R28" s="4"/>
      <c r="S28" s="5"/>
    </row>
    <row r="29" spans="1:19" s="3" customFormat="1" ht="18.95" customHeight="1">
      <c r="A29" s="85"/>
      <c r="B29" s="86"/>
      <c r="C29" s="115"/>
      <c r="D29" s="116"/>
      <c r="E29" s="93"/>
      <c r="F29" s="94"/>
      <c r="G29" s="95"/>
      <c r="H29" s="126"/>
      <c r="I29" s="126"/>
      <c r="J29" s="126"/>
      <c r="K29" s="126"/>
      <c r="L29" s="90"/>
      <c r="M29" s="91"/>
      <c r="N29" s="91" t="str">
        <f t="shared" si="0"/>
        <v/>
      </c>
      <c r="O29" s="92"/>
      <c r="Q29" s="5"/>
      <c r="R29" s="4"/>
      <c r="S29" s="5"/>
    </row>
    <row r="30" spans="1:19" s="3" customFormat="1" ht="18.95" customHeight="1">
      <c r="A30" s="85"/>
      <c r="B30" s="86"/>
      <c r="C30" s="115"/>
      <c r="D30" s="116"/>
      <c r="E30" s="93"/>
      <c r="F30" s="94"/>
      <c r="G30" s="95"/>
      <c r="H30" s="126"/>
      <c r="I30" s="126"/>
      <c r="J30" s="126"/>
      <c r="K30" s="126"/>
      <c r="L30" s="90"/>
      <c r="M30" s="91"/>
      <c r="N30" s="91" t="str">
        <f t="shared" si="0"/>
        <v/>
      </c>
      <c r="O30" s="92"/>
      <c r="Q30" s="5"/>
      <c r="R30" s="4"/>
      <c r="S30" s="5"/>
    </row>
    <row r="31" spans="1:19" s="3" customFormat="1" ht="18.95" customHeight="1">
      <c r="A31" s="85"/>
      <c r="B31" s="86"/>
      <c r="C31" s="115"/>
      <c r="D31" s="116"/>
      <c r="E31" s="93"/>
      <c r="F31" s="94"/>
      <c r="G31" s="95"/>
      <c r="H31" s="126"/>
      <c r="I31" s="126"/>
      <c r="J31" s="126"/>
      <c r="K31" s="126"/>
      <c r="L31" s="90"/>
      <c r="M31" s="91"/>
      <c r="N31" s="91" t="str">
        <f t="shared" si="0"/>
        <v/>
      </c>
      <c r="O31" s="92"/>
      <c r="Q31" s="5"/>
      <c r="R31" s="4"/>
      <c r="S31" s="5"/>
    </row>
    <row r="32" spans="1:19" s="3" customFormat="1" ht="18.95" customHeight="1">
      <c r="A32" s="85"/>
      <c r="B32" s="86"/>
      <c r="C32" s="115"/>
      <c r="D32" s="116"/>
      <c r="E32" s="93"/>
      <c r="F32" s="94"/>
      <c r="G32" s="95"/>
      <c r="H32" s="126"/>
      <c r="I32" s="126"/>
      <c r="J32" s="126"/>
      <c r="K32" s="126"/>
      <c r="L32" s="90"/>
      <c r="M32" s="91"/>
      <c r="N32" s="91" t="str">
        <f t="shared" si="0"/>
        <v/>
      </c>
      <c r="O32" s="92"/>
      <c r="Q32" s="5"/>
      <c r="R32" s="4"/>
      <c r="S32" s="5"/>
    </row>
    <row r="33" spans="1:19" s="3" customFormat="1" ht="18.95" customHeight="1">
      <c r="A33" s="85"/>
      <c r="B33" s="86"/>
      <c r="C33" s="115"/>
      <c r="D33" s="116"/>
      <c r="E33" s="93"/>
      <c r="F33" s="94"/>
      <c r="G33" s="95"/>
      <c r="H33" s="126"/>
      <c r="I33" s="126"/>
      <c r="J33" s="126"/>
      <c r="K33" s="126"/>
      <c r="L33" s="90"/>
      <c r="M33" s="91"/>
      <c r="N33" s="91" t="str">
        <f t="shared" si="0"/>
        <v/>
      </c>
      <c r="O33" s="92"/>
      <c r="Q33" s="5"/>
      <c r="R33" s="4"/>
      <c r="S33" s="5"/>
    </row>
    <row r="34" spans="1:19" s="3" customFormat="1" ht="18.95" customHeight="1">
      <c r="A34" s="85"/>
      <c r="B34" s="86"/>
      <c r="C34" s="115"/>
      <c r="D34" s="116"/>
      <c r="E34" s="93"/>
      <c r="F34" s="94"/>
      <c r="G34" s="95"/>
      <c r="H34" s="126"/>
      <c r="I34" s="126"/>
      <c r="J34" s="126"/>
      <c r="K34" s="126"/>
      <c r="L34" s="90"/>
      <c r="M34" s="91"/>
      <c r="N34" s="91" t="str">
        <f t="shared" si="0"/>
        <v/>
      </c>
      <c r="O34" s="92"/>
    </row>
    <row r="35" spans="1:19" s="3" customFormat="1" ht="18.95" customHeight="1">
      <c r="A35" s="85"/>
      <c r="B35" s="86"/>
      <c r="C35" s="115"/>
      <c r="D35" s="116"/>
      <c r="E35" s="93"/>
      <c r="F35" s="94"/>
      <c r="G35" s="95"/>
      <c r="H35" s="126"/>
      <c r="I35" s="126"/>
      <c r="J35" s="126"/>
      <c r="K35" s="126"/>
      <c r="L35" s="90"/>
      <c r="M35" s="91"/>
      <c r="N35" s="91" t="str">
        <f t="shared" si="0"/>
        <v/>
      </c>
      <c r="O35" s="92"/>
    </row>
    <row r="36" spans="1:19" s="3" customFormat="1" ht="18.95" customHeight="1">
      <c r="A36" s="85"/>
      <c r="B36" s="86"/>
      <c r="C36" s="115"/>
      <c r="D36" s="116"/>
      <c r="E36" s="93"/>
      <c r="F36" s="94"/>
      <c r="G36" s="95"/>
      <c r="H36" s="126"/>
      <c r="I36" s="126"/>
      <c r="J36" s="126"/>
      <c r="K36" s="126"/>
      <c r="L36" s="90"/>
      <c r="M36" s="91"/>
      <c r="N36" s="91" t="str">
        <f t="shared" si="0"/>
        <v/>
      </c>
      <c r="O36" s="92"/>
      <c r="R36" s="12"/>
    </row>
    <row r="37" spans="1:19" s="3" customFormat="1" ht="18.95" customHeight="1">
      <c r="A37" s="85"/>
      <c r="B37" s="86"/>
      <c r="C37" s="115"/>
      <c r="D37" s="116"/>
      <c r="E37" s="93"/>
      <c r="F37" s="94"/>
      <c r="G37" s="95"/>
      <c r="H37" s="126"/>
      <c r="I37" s="126"/>
      <c r="J37" s="126"/>
      <c r="K37" s="126"/>
      <c r="L37" s="90"/>
      <c r="M37" s="91"/>
      <c r="N37" s="91" t="str">
        <f t="shared" si="0"/>
        <v/>
      </c>
      <c r="O37" s="92"/>
    </row>
    <row r="38" spans="1:19" s="3" customFormat="1" ht="18.75" customHeight="1">
      <c r="A38" s="85"/>
      <c r="B38" s="86"/>
      <c r="C38" s="115"/>
      <c r="D38" s="116"/>
      <c r="E38" s="93"/>
      <c r="F38" s="94"/>
      <c r="G38" s="95"/>
      <c r="H38" s="126"/>
      <c r="I38" s="126"/>
      <c r="J38" s="126"/>
      <c r="K38" s="126"/>
      <c r="L38" s="90"/>
      <c r="M38" s="91"/>
      <c r="N38" s="91" t="str">
        <f t="shared" si="0"/>
        <v/>
      </c>
      <c r="O38" s="92"/>
      <c r="S38" s="12"/>
    </row>
    <row r="39" spans="1:19" s="3" customFormat="1" ht="18.95" customHeight="1">
      <c r="A39" s="85"/>
      <c r="B39" s="86"/>
      <c r="C39" s="115"/>
      <c r="D39" s="116"/>
      <c r="E39" s="93"/>
      <c r="F39" s="94"/>
      <c r="G39" s="95"/>
      <c r="H39" s="126"/>
      <c r="I39" s="126"/>
      <c r="J39" s="126"/>
      <c r="K39" s="126"/>
      <c r="L39" s="90"/>
      <c r="M39" s="91"/>
      <c r="N39" s="91" t="str">
        <f t="shared" si="0"/>
        <v/>
      </c>
      <c r="O39" s="92"/>
      <c r="S39" s="12"/>
    </row>
    <row r="40" spans="1:19" s="3" customFormat="1" ht="18.95" customHeight="1">
      <c r="A40" s="85"/>
      <c r="B40" s="86"/>
      <c r="C40" s="115"/>
      <c r="D40" s="116"/>
      <c r="E40" s="93"/>
      <c r="F40" s="94"/>
      <c r="G40" s="95"/>
      <c r="H40" s="126"/>
      <c r="I40" s="126"/>
      <c r="J40" s="126"/>
      <c r="K40" s="126"/>
      <c r="L40" s="90"/>
      <c r="M40" s="91"/>
      <c r="N40" s="91" t="str">
        <f t="shared" si="0"/>
        <v/>
      </c>
      <c r="O40" s="92"/>
    </row>
    <row r="41" spans="1:19" s="3" customFormat="1" ht="18.95" customHeight="1">
      <c r="A41" s="98"/>
      <c r="B41" s="99"/>
      <c r="C41" s="122"/>
      <c r="D41" s="123"/>
      <c r="E41" s="100"/>
      <c r="F41" s="101"/>
      <c r="G41" s="102"/>
      <c r="H41" s="127"/>
      <c r="I41" s="127"/>
      <c r="J41" s="127"/>
      <c r="K41" s="127"/>
      <c r="L41" s="103"/>
      <c r="M41" s="104"/>
      <c r="N41" s="91" t="str">
        <f t="shared" si="0"/>
        <v/>
      </c>
      <c r="O41" s="105"/>
    </row>
    <row r="42" spans="1:19" ht="18.95" customHeight="1">
      <c r="A42" s="57"/>
      <c r="B42" s="57"/>
      <c r="C42" s="57"/>
      <c r="D42" s="57"/>
      <c r="E42" s="57"/>
      <c r="F42" s="57"/>
      <c r="G42" s="58" t="s">
        <v>17</v>
      </c>
      <c r="H42" s="128">
        <f>SUM(H10:H41)</f>
        <v>0</v>
      </c>
      <c r="I42" s="128">
        <f>SUM(I10:I41)</f>
        <v>0</v>
      </c>
      <c r="J42" s="128">
        <f>SUM(J10:J41)</f>
        <v>0</v>
      </c>
      <c r="K42" s="128">
        <f>SUM(K10:K41)</f>
        <v>0</v>
      </c>
      <c r="L42" s="59"/>
      <c r="M42" s="60"/>
      <c r="N42" s="61"/>
      <c r="O42" s="34"/>
    </row>
    <row r="43" spans="1:19" ht="26.25" customHeight="1">
      <c r="A43" s="62" t="s">
        <v>18</v>
      </c>
      <c r="B43" s="63" t="s">
        <v>19</v>
      </c>
      <c r="C43" s="62" t="s">
        <v>20</v>
      </c>
      <c r="D43" s="63"/>
      <c r="E43" s="62" t="s">
        <v>21</v>
      </c>
      <c r="F43" s="57"/>
      <c r="G43" s="64" t="s">
        <v>22</v>
      </c>
      <c r="H43" s="65"/>
      <c r="I43" s="75"/>
      <c r="J43" s="84"/>
      <c r="K43" s="66">
        <f>H42+J42+I42+K42</f>
        <v>0</v>
      </c>
      <c r="L43" s="67"/>
      <c r="M43" s="68"/>
      <c r="N43" s="69">
        <f>SUM(N10:N41)</f>
        <v>0</v>
      </c>
      <c r="O43" s="34"/>
    </row>
    <row r="44" spans="1:19" ht="20.100000000000001" customHeight="1" thickBot="1">
      <c r="A44" s="111"/>
      <c r="B44" s="112"/>
      <c r="C44" s="113"/>
      <c r="D44" s="114"/>
      <c r="E44" s="111"/>
      <c r="F44" s="70"/>
      <c r="G44" s="58"/>
      <c r="H44" s="71"/>
      <c r="I44" s="71"/>
      <c r="J44" s="71"/>
      <c r="K44" s="71"/>
      <c r="L44" s="71"/>
      <c r="M44" s="71"/>
      <c r="N44" s="57"/>
      <c r="O44" s="41"/>
    </row>
    <row r="45" spans="1:19" ht="20.100000000000001" customHeight="1" thickBot="1">
      <c r="A45" s="111"/>
      <c r="B45" s="112"/>
      <c r="C45" s="106"/>
      <c r="D45" s="107"/>
      <c r="E45" s="111"/>
      <c r="F45" s="72"/>
      <c r="G45" s="73"/>
      <c r="H45" s="108" t="s">
        <v>27</v>
      </c>
      <c r="I45" s="109" t="s">
        <v>14</v>
      </c>
      <c r="J45" s="109" t="s">
        <v>28</v>
      </c>
      <c r="K45" s="109" t="s">
        <v>25</v>
      </c>
      <c r="L45" s="109" t="s">
        <v>26</v>
      </c>
      <c r="M45" s="110" t="s">
        <v>29</v>
      </c>
      <c r="N45" s="74"/>
      <c r="O45" s="41"/>
    </row>
    <row r="46" spans="1:19" ht="20.100000000000001" customHeight="1">
      <c r="A46" s="75"/>
      <c r="B46" s="75"/>
      <c r="C46" s="65"/>
      <c r="D46" s="66"/>
      <c r="E46" s="76"/>
      <c r="F46" s="72"/>
      <c r="G46" s="57"/>
      <c r="H46" s="129" t="str">
        <f>IF(P10 &lt;&gt; 0,P10,"")</f>
        <v/>
      </c>
      <c r="I46" s="130" t="str">
        <f>IF(SUMIF($O$10:$O$41,H46,$H$10:$H$41) &lt;&gt; 0,SUMIF($O$10:$O$41,H46,$H$10:$H$41),"")</f>
        <v/>
      </c>
      <c r="J46" s="130" t="str">
        <f>IF(SUMIF($O$10:$O$41,H46,$I$10:$I$41) &lt;&gt; 0,SUMIF($O$10:$O$41,H46,$I$10:$I$41),"")</f>
        <v/>
      </c>
      <c r="K46" s="130" t="str">
        <f>IF(SUMIF($O$10:$O$41,H46,$J$10:$J$41)&lt;&gt; 0,SUMIF($O$10:$O$41,H46,$J$10:$J$41),"")</f>
        <v/>
      </c>
      <c r="L46" s="130" t="str">
        <f>IF(SUMIF($O$10:$O$41,H46,$K$10:$K$41) &lt;&gt; 0,SUMIF($O$10:$O$41,H46,$K$10:$K$41),"")</f>
        <v/>
      </c>
      <c r="M46" s="131" t="str">
        <f>IF(H46 &lt;&gt; "",SUM(I46:L46),"")</f>
        <v/>
      </c>
      <c r="N46" s="74"/>
      <c r="O46" s="34"/>
    </row>
    <row r="47" spans="1:19" ht="20.100000000000001" customHeight="1">
      <c r="A47" s="77"/>
      <c r="B47" s="78"/>
      <c r="C47" s="78"/>
      <c r="D47" s="78"/>
      <c r="E47" s="79"/>
      <c r="F47" s="78"/>
      <c r="G47" s="78"/>
      <c r="H47" s="129" t="str">
        <f t="shared" ref="H47:H53" si="1">IF(P11 &lt;&gt; 0,P11,"")</f>
        <v/>
      </c>
      <c r="I47" s="130" t="str">
        <f t="shared" ref="I47:I53" si="2">IF(SUMIF($O$10:$O$41,H47,$H$10:$H$41) &lt;&gt; 0,SUMIF($O$10:$O$41,H47,$H$10:$H$41),"")</f>
        <v/>
      </c>
      <c r="J47" s="130" t="str">
        <f t="shared" ref="J47:J53" si="3">IF(SUMIF($O$10:$O$41,H47,$I$10:$I$41) &lt;&gt; 0,SUMIF($O$10:$O$41,H47,$I$10:$I$41),"")</f>
        <v/>
      </c>
      <c r="K47" s="130" t="str">
        <f t="shared" ref="K47:K53" si="4">IF(SUMIF($O$10:$O$41,H47,$J$10:$J$41)&lt;&gt; 0,SUMIF($O$10:$O$41,H47,$J$10:$J$41),"")</f>
        <v/>
      </c>
      <c r="L47" s="130" t="str">
        <f t="shared" ref="L47:L53" si="5">IF(SUMIF($O$10:$O$41,H47,$K$10:$K$41) &lt;&gt; 0,SUMIF($O$10:$O$41,H47,$K$10:$K$41),"")</f>
        <v/>
      </c>
      <c r="M47" s="131" t="str">
        <f t="shared" ref="M47:M53" si="6">IF(H47 &lt;&gt; "",SUM(I47:L47),"")</f>
        <v/>
      </c>
      <c r="N47" s="80"/>
      <c r="O47" s="81"/>
    </row>
    <row r="48" spans="1:19" ht="20.100000000000001" customHeight="1">
      <c r="A48" s="17"/>
      <c r="B48" s="17"/>
      <c r="C48" s="17"/>
      <c r="D48" s="17"/>
      <c r="E48" s="17"/>
      <c r="F48" s="17"/>
      <c r="G48" s="17"/>
      <c r="H48" s="129" t="str">
        <f t="shared" si="1"/>
        <v/>
      </c>
      <c r="I48" s="130" t="str">
        <f t="shared" si="2"/>
        <v/>
      </c>
      <c r="J48" s="130" t="str">
        <f t="shared" si="3"/>
        <v/>
      </c>
      <c r="K48" s="130" t="str">
        <f t="shared" si="4"/>
        <v/>
      </c>
      <c r="L48" s="130" t="str">
        <f t="shared" si="5"/>
        <v/>
      </c>
      <c r="M48" s="131" t="str">
        <f t="shared" si="6"/>
        <v/>
      </c>
      <c r="N48" s="17"/>
      <c r="O48" s="17"/>
      <c r="P48"/>
      <c r="Q48"/>
      <c r="R48"/>
      <c r="S48"/>
    </row>
    <row r="49" spans="1:15" s="2" customFormat="1" ht="20.100000000000001" customHeight="1">
      <c r="A49" s="18"/>
      <c r="B49" s="15"/>
      <c r="C49" s="15"/>
      <c r="D49" s="15"/>
      <c r="E49" s="15"/>
      <c r="F49" s="15"/>
      <c r="G49" s="15"/>
      <c r="H49" s="129" t="str">
        <f t="shared" si="1"/>
        <v/>
      </c>
      <c r="I49" s="130" t="str">
        <f t="shared" si="2"/>
        <v/>
      </c>
      <c r="J49" s="130" t="str">
        <f t="shared" si="3"/>
        <v/>
      </c>
      <c r="K49" s="130" t="str">
        <f t="shared" si="4"/>
        <v/>
      </c>
      <c r="L49" s="130" t="str">
        <f t="shared" si="5"/>
        <v/>
      </c>
      <c r="M49" s="131" t="str">
        <f t="shared" si="6"/>
        <v/>
      </c>
      <c r="N49" s="15"/>
      <c r="O49" s="19"/>
    </row>
    <row r="50" spans="1:15" s="2" customFormat="1" ht="20.100000000000001" customHeight="1">
      <c r="A50" s="18"/>
      <c r="B50" s="15"/>
      <c r="C50" s="15"/>
      <c r="D50" s="15"/>
      <c r="E50" s="15"/>
      <c r="F50" s="15"/>
      <c r="G50" s="15"/>
      <c r="H50" s="129" t="str">
        <f t="shared" si="1"/>
        <v/>
      </c>
      <c r="I50" s="130" t="str">
        <f t="shared" si="2"/>
        <v/>
      </c>
      <c r="J50" s="130" t="str">
        <f t="shared" si="3"/>
        <v/>
      </c>
      <c r="K50" s="130" t="str">
        <f t="shared" si="4"/>
        <v/>
      </c>
      <c r="L50" s="130" t="str">
        <f t="shared" si="5"/>
        <v/>
      </c>
      <c r="M50" s="131" t="str">
        <f t="shared" si="6"/>
        <v/>
      </c>
      <c r="N50" s="15"/>
      <c r="O50" s="19"/>
    </row>
    <row r="51" spans="1:15" s="2" customFormat="1" ht="20.100000000000001" customHeight="1">
      <c r="A51" s="4"/>
      <c r="B51" s="4"/>
      <c r="C51" s="4"/>
      <c r="D51" s="4"/>
      <c r="E51" s="4"/>
      <c r="F51" s="4"/>
      <c r="G51" s="4"/>
      <c r="H51" s="129" t="str">
        <f t="shared" si="1"/>
        <v/>
      </c>
      <c r="I51" s="130" t="str">
        <f t="shared" si="2"/>
        <v/>
      </c>
      <c r="J51" s="130" t="str">
        <f t="shared" si="3"/>
        <v/>
      </c>
      <c r="K51" s="130" t="str">
        <f t="shared" si="4"/>
        <v/>
      </c>
      <c r="L51" s="130" t="str">
        <f t="shared" si="5"/>
        <v/>
      </c>
      <c r="M51" s="131" t="str">
        <f t="shared" si="6"/>
        <v/>
      </c>
      <c r="N51" s="4"/>
      <c r="O51" s="19"/>
    </row>
    <row r="52" spans="1:15" s="3" customFormat="1" ht="20.100000000000001" customHeight="1">
      <c r="A52" s="5"/>
      <c r="B52" s="5"/>
      <c r="C52" s="5"/>
      <c r="D52" s="5"/>
      <c r="E52" s="5"/>
      <c r="F52" s="5"/>
      <c r="G52" s="5"/>
      <c r="H52" s="129" t="str">
        <f t="shared" si="1"/>
        <v/>
      </c>
      <c r="I52" s="130" t="str">
        <f t="shared" si="2"/>
        <v/>
      </c>
      <c r="J52" s="130" t="str">
        <f t="shared" si="3"/>
        <v/>
      </c>
      <c r="K52" s="130" t="str">
        <f t="shared" si="4"/>
        <v/>
      </c>
      <c r="L52" s="130" t="str">
        <f t="shared" si="5"/>
        <v/>
      </c>
      <c r="M52" s="131" t="str">
        <f t="shared" si="6"/>
        <v/>
      </c>
      <c r="N52" s="5"/>
      <c r="O52" s="5"/>
    </row>
    <row r="53" spans="1:15" s="3" customFormat="1" ht="20.100000000000001" customHeight="1" thickBot="1">
      <c r="A53" s="4"/>
      <c r="B53" s="4"/>
      <c r="C53" s="4"/>
      <c r="D53" s="4"/>
      <c r="E53" s="4"/>
      <c r="F53" s="4"/>
      <c r="G53" s="4"/>
      <c r="H53" s="132" t="str">
        <f t="shared" si="1"/>
        <v/>
      </c>
      <c r="I53" s="133" t="str">
        <f t="shared" si="2"/>
        <v/>
      </c>
      <c r="J53" s="133" t="str">
        <f t="shared" si="3"/>
        <v/>
      </c>
      <c r="K53" s="133" t="str">
        <f t="shared" si="4"/>
        <v/>
      </c>
      <c r="L53" s="133" t="str">
        <f t="shared" si="5"/>
        <v/>
      </c>
      <c r="M53" s="134" t="str">
        <f t="shared" si="6"/>
        <v/>
      </c>
      <c r="N53" s="4"/>
      <c r="O53" s="5"/>
    </row>
    <row r="54" spans="1:15" s="3" customFormat="1" ht="17.100000000000001" customHeight="1">
      <c r="A54" s="20"/>
      <c r="B54" s="20"/>
      <c r="C54" s="20"/>
      <c r="D54" s="20"/>
      <c r="E54" s="20"/>
      <c r="F54" s="21"/>
      <c r="G54" s="20"/>
      <c r="H54" s="20"/>
      <c r="I54" s="20"/>
      <c r="J54" s="20"/>
      <c r="K54" s="20"/>
      <c r="L54" s="124"/>
      <c r="M54" s="124"/>
      <c r="N54" s="124"/>
      <c r="O54" s="7"/>
    </row>
    <row r="55" spans="1:15" s="3" customFormat="1" ht="17.100000000000001" customHeight="1">
      <c r="A55" s="22"/>
      <c r="B55" s="22"/>
      <c r="C55" s="20"/>
      <c r="D55" s="20"/>
      <c r="E55" s="20"/>
      <c r="F55" s="20"/>
      <c r="G55" s="20"/>
      <c r="H55" s="22"/>
      <c r="I55" s="82"/>
      <c r="J55" s="23"/>
      <c r="K55" s="23"/>
      <c r="L55" s="124"/>
      <c r="M55" s="124"/>
      <c r="N55" s="22"/>
      <c r="O55" s="7"/>
    </row>
    <row r="56" spans="1:15" s="3" customFormat="1" ht="18.95" customHeight="1">
      <c r="A56" s="4"/>
      <c r="B56" s="4"/>
      <c r="C56" s="4"/>
      <c r="D56" s="4"/>
      <c r="E56" s="124"/>
      <c r="F56" s="124"/>
      <c r="G56" s="124"/>
      <c r="H56" s="4"/>
      <c r="I56" s="4"/>
      <c r="J56" s="4"/>
      <c r="K56" s="4"/>
      <c r="L56" s="4"/>
      <c r="M56" s="22"/>
      <c r="N56" s="4"/>
      <c r="O56" s="4"/>
    </row>
    <row r="57" spans="1:15" s="3" customFormat="1" ht="18.95" customHeight="1">
      <c r="A57" s="4"/>
      <c r="B57" s="4"/>
      <c r="C57" s="4"/>
      <c r="D57" s="4"/>
      <c r="E57" s="124"/>
      <c r="F57" s="124"/>
      <c r="G57" s="124"/>
      <c r="H57" s="4"/>
      <c r="I57" s="4"/>
      <c r="J57" s="4"/>
      <c r="K57" s="4"/>
      <c r="L57" s="4"/>
      <c r="M57" s="22"/>
      <c r="N57" s="4"/>
      <c r="O57" s="4"/>
    </row>
    <row r="58" spans="1:15" s="3" customFormat="1" ht="18.95" customHeight="1">
      <c r="A58" s="4"/>
      <c r="B58" s="4"/>
      <c r="C58" s="4"/>
      <c r="D58" s="4"/>
      <c r="E58" s="124"/>
      <c r="F58" s="124"/>
      <c r="G58" s="124"/>
      <c r="H58" s="4"/>
      <c r="I58" s="4"/>
      <c r="J58" s="4"/>
      <c r="K58" s="4"/>
      <c r="L58" s="4"/>
      <c r="M58" s="22"/>
      <c r="N58" s="4"/>
      <c r="O58" s="4"/>
    </row>
    <row r="59" spans="1:15" s="3" customFormat="1" ht="18.95" customHeight="1">
      <c r="A59" s="4"/>
      <c r="B59" s="4"/>
      <c r="C59" s="4"/>
      <c r="D59" s="4"/>
      <c r="E59" s="124"/>
      <c r="F59" s="124"/>
      <c r="G59" s="124"/>
      <c r="H59" s="4"/>
      <c r="I59" s="4"/>
      <c r="J59" s="4"/>
      <c r="K59" s="4"/>
      <c r="L59" s="4"/>
      <c r="M59" s="22"/>
      <c r="N59" s="4"/>
      <c r="O59" s="4"/>
    </row>
    <row r="60" spans="1:15" s="3" customFormat="1" ht="18.95" customHeight="1">
      <c r="A60" s="4"/>
      <c r="B60" s="4"/>
      <c r="C60" s="4"/>
      <c r="D60" s="4"/>
      <c r="E60" s="124"/>
      <c r="F60" s="124"/>
      <c r="G60" s="124"/>
      <c r="H60" s="4"/>
      <c r="I60" s="4"/>
      <c r="J60" s="4"/>
      <c r="K60" s="4"/>
      <c r="L60" s="4"/>
      <c r="M60" s="22"/>
      <c r="N60" s="4"/>
      <c r="O60" s="5"/>
    </row>
    <row r="61" spans="1:15" s="3" customFormat="1" ht="18.95" customHeight="1">
      <c r="A61" s="4"/>
      <c r="B61" s="4"/>
      <c r="C61" s="4"/>
      <c r="D61" s="4"/>
      <c r="E61" s="124"/>
      <c r="F61" s="124"/>
      <c r="G61" s="124"/>
      <c r="H61" s="4"/>
      <c r="I61" s="4"/>
      <c r="J61" s="4"/>
      <c r="K61" s="4"/>
      <c r="L61" s="4"/>
      <c r="M61" s="22"/>
      <c r="N61" s="4"/>
      <c r="O61" s="5"/>
    </row>
    <row r="62" spans="1:15" s="3" customFormat="1" ht="18.95" customHeight="1">
      <c r="A62" s="4"/>
      <c r="B62" s="4"/>
      <c r="C62" s="4"/>
      <c r="D62" s="4"/>
      <c r="E62" s="124"/>
      <c r="F62" s="124"/>
      <c r="G62" s="124"/>
      <c r="H62" s="4"/>
      <c r="I62" s="4"/>
      <c r="J62" s="4"/>
      <c r="K62" s="4"/>
      <c r="L62" s="4"/>
      <c r="M62" s="22"/>
      <c r="N62" s="4"/>
      <c r="O62" s="5"/>
    </row>
    <row r="63" spans="1:15" s="3" customFormat="1" ht="18.95" customHeight="1">
      <c r="A63" s="4"/>
      <c r="B63" s="4"/>
      <c r="C63" s="4"/>
      <c r="D63" s="4"/>
      <c r="E63" s="124"/>
      <c r="F63" s="124"/>
      <c r="G63" s="124"/>
      <c r="H63" s="4"/>
      <c r="I63" s="4"/>
      <c r="J63" s="4"/>
      <c r="K63" s="4"/>
      <c r="L63" s="4"/>
      <c r="M63" s="22"/>
      <c r="N63" s="4"/>
      <c r="O63" s="5"/>
    </row>
    <row r="64" spans="1:15" s="3" customFormat="1" ht="18.95" customHeight="1">
      <c r="A64" s="4"/>
      <c r="B64" s="4"/>
      <c r="C64" s="4"/>
      <c r="D64" s="4"/>
      <c r="E64" s="124"/>
      <c r="F64" s="124"/>
      <c r="G64" s="124"/>
      <c r="H64" s="4"/>
      <c r="I64" s="4"/>
      <c r="J64" s="4"/>
      <c r="K64" s="4"/>
      <c r="L64" s="4"/>
      <c r="M64" s="22"/>
      <c r="N64" s="4"/>
      <c r="O64" s="5"/>
    </row>
    <row r="65" spans="1:15" s="3" customFormat="1" ht="18.95" customHeight="1">
      <c r="A65" s="4"/>
      <c r="B65" s="4"/>
      <c r="C65" s="4"/>
      <c r="D65" s="4"/>
      <c r="E65" s="124"/>
      <c r="F65" s="124"/>
      <c r="G65" s="124"/>
      <c r="H65" s="4"/>
      <c r="I65" s="4"/>
      <c r="J65" s="4"/>
      <c r="K65" s="4"/>
      <c r="L65" s="4"/>
      <c r="M65" s="22"/>
      <c r="N65" s="4"/>
      <c r="O65" s="5"/>
    </row>
    <row r="66" spans="1:15" ht="18.95" customHeight="1">
      <c r="A66" s="13"/>
      <c r="B66" s="13"/>
      <c r="C66" s="13"/>
      <c r="D66" s="13"/>
      <c r="E66" s="13"/>
      <c r="F66" s="13"/>
      <c r="G66" s="24"/>
      <c r="H66" s="13"/>
      <c r="I66" s="13"/>
      <c r="J66" s="13"/>
      <c r="K66" s="13"/>
      <c r="L66" s="25"/>
      <c r="M66" s="25"/>
      <c r="N66" s="13"/>
      <c r="O66" s="16"/>
    </row>
    <row r="67" spans="1:15">
      <c r="A67" s="26"/>
      <c r="B67" s="26"/>
      <c r="C67" s="26"/>
      <c r="D67" s="26"/>
      <c r="E67" s="26"/>
      <c r="F67" s="13"/>
      <c r="G67" s="27"/>
      <c r="H67" s="13"/>
      <c r="I67" s="13"/>
      <c r="J67" s="13"/>
      <c r="K67" s="13"/>
      <c r="L67" s="25"/>
      <c r="M67" s="25"/>
      <c r="N67" s="13"/>
      <c r="O67" s="16"/>
    </row>
    <row r="68" spans="1:15" ht="27" customHeight="1">
      <c r="A68" s="13"/>
      <c r="B68" s="13"/>
      <c r="C68" s="13"/>
      <c r="D68" s="13"/>
      <c r="E68" s="13"/>
      <c r="F68" s="28"/>
      <c r="G68" s="24"/>
      <c r="H68" s="13"/>
      <c r="I68" s="13"/>
      <c r="J68" s="13"/>
      <c r="K68" s="13"/>
      <c r="L68" s="13"/>
      <c r="M68" s="13"/>
      <c r="N68" s="13"/>
      <c r="O68" s="5"/>
    </row>
    <row r="69" spans="1:15" ht="17.100000000000001" customHeight="1">
      <c r="A69" s="13"/>
      <c r="B69" s="13"/>
      <c r="C69" s="13"/>
      <c r="D69" s="13"/>
      <c r="E69" s="13"/>
      <c r="F69" s="13"/>
      <c r="G69" s="14"/>
      <c r="H69" s="14"/>
      <c r="I69" s="14"/>
      <c r="J69" s="14"/>
      <c r="K69" s="14"/>
      <c r="L69" s="13"/>
      <c r="M69" s="13"/>
      <c r="N69" s="29"/>
      <c r="O69" s="5"/>
    </row>
    <row r="70" spans="1:15" ht="17.100000000000001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29"/>
      <c r="O70" s="16"/>
    </row>
    <row r="71" spans="1:15" ht="17.100000000000001" customHeight="1">
      <c r="A71" s="16"/>
      <c r="B71" s="16"/>
      <c r="C71" s="16"/>
      <c r="D71" s="16"/>
      <c r="E71" s="16"/>
      <c r="F71" s="13"/>
      <c r="G71" s="13"/>
      <c r="H71" s="13"/>
      <c r="I71" s="13"/>
      <c r="J71" s="13"/>
      <c r="K71" s="13"/>
      <c r="L71" s="13"/>
      <c r="M71" s="13"/>
      <c r="N71" s="29"/>
      <c r="O71" s="16"/>
    </row>
    <row r="72" spans="1:1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1:1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</sheetData>
  <sheetProtection selectLockedCells="1"/>
  <mergeCells count="38">
    <mergeCell ref="L54:N54"/>
    <mergeCell ref="L55:M55"/>
    <mergeCell ref="E63:G63"/>
    <mergeCell ref="E64:G64"/>
    <mergeCell ref="E65:G65"/>
    <mergeCell ref="E57:G57"/>
    <mergeCell ref="E58:G58"/>
    <mergeCell ref="E59:G59"/>
    <mergeCell ref="E60:G60"/>
    <mergeCell ref="E61:G61"/>
    <mergeCell ref="E62:G62"/>
    <mergeCell ref="E56:G56"/>
    <mergeCell ref="C29:D29"/>
    <mergeCell ref="C30:D30"/>
    <mergeCell ref="C31:D31"/>
    <mergeCell ref="C32:D32"/>
    <mergeCell ref="C41:D41"/>
    <mergeCell ref="C39:D39"/>
    <mergeCell ref="C40:D40"/>
    <mergeCell ref="C36:D36"/>
    <mergeCell ref="C37:D37"/>
    <mergeCell ref="C38:D38"/>
    <mergeCell ref="C33:D33"/>
    <mergeCell ref="C34:D34"/>
    <mergeCell ref="C35:D35"/>
    <mergeCell ref="C27:D27"/>
    <mergeCell ref="L8:N8"/>
    <mergeCell ref="L9:M9"/>
    <mergeCell ref="C10:D10"/>
    <mergeCell ref="C11:D11"/>
    <mergeCell ref="C12:D12"/>
    <mergeCell ref="C13:D13"/>
    <mergeCell ref="C14:D14"/>
    <mergeCell ref="C15:D15"/>
    <mergeCell ref="C18:D18"/>
    <mergeCell ref="C25:D25"/>
    <mergeCell ref="C26:D26"/>
    <mergeCell ref="C28:D28"/>
  </mergeCells>
  <pageMargins left="0.27559055118110237" right="0" top="0.31496062992125984" bottom="0.19685039370078741" header="0.27559055118110237" footer="0.23622047244094491"/>
  <pageSetup paperSize="9" scale="70" orientation="portrait" r:id="rId1"/>
  <headerFooter alignWithMargins="0">
    <oddFooter>&amp;R&amp;8File : &amp;F</oddFooter>
  </headerFooter>
  <ignoredErrors>
    <ignoredError sqref="N10 M46:M5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EyeBerryTT</dc:creator>
  <cp:lastModifiedBy>kriangkrai rattanawan</cp:lastModifiedBy>
  <cp:lastPrinted>2024-05-03T07:39:36Z</cp:lastPrinted>
  <dcterms:created xsi:type="dcterms:W3CDTF">2018-01-17T08:52:23Z</dcterms:created>
  <dcterms:modified xsi:type="dcterms:W3CDTF">2024-08-06T08:17:20Z</dcterms:modified>
</cp:coreProperties>
</file>